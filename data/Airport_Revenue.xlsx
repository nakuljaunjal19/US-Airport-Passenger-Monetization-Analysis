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akul\Downloads\"/>
    </mc:Choice>
  </mc:AlternateContent>
  <xr:revisionPtr revIDLastSave="0" documentId="8_{7ECB830A-ADB3-477E-AEB5-039F4C4B2A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127_Raw" sheetId="1" r:id="rId1"/>
    <sheet name="Data_Dictionary" sheetId="2" r:id="rId2"/>
    <sheet name="Project_Setup" sheetId="3" r:id="rId3"/>
    <sheet name="Airport_Master" sheetId="4" r:id="rId4"/>
    <sheet name="Pilot_Validation" sheetId="5" r:id="rId5"/>
    <sheet name="Data_Quality" sheetId="6" r:id="rId6"/>
    <sheet name="Working_Set_25" sheetId="7" r:id="rId7"/>
    <sheet name="Comparability_Review" sheetId="8" r:id="rId8"/>
    <sheet name="Candidate_Set_33" sheetId="9" r:id="rId9"/>
    <sheet name="Final_Airport_Set" sheetId="10" r:id="rId10"/>
    <sheet name="Airport_Financials_Clean" sheetId="11" r:id="rId11"/>
    <sheet name="Cleaning_Audit" sheetId="12" r:id="rId12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187" i="11" l="1"/>
  <c r="AE187" i="11"/>
  <c r="AD187" i="11"/>
  <c r="AC187" i="11"/>
  <c r="AB187" i="11"/>
  <c r="AA187" i="11"/>
  <c r="AH187" i="11" s="1"/>
  <c r="Y187" i="11"/>
  <c r="Z187" i="11" s="1"/>
  <c r="A187" i="11"/>
  <c r="AH186" i="11"/>
  <c r="AG186" i="11"/>
  <c r="AE186" i="11"/>
  <c r="AD186" i="11"/>
  <c r="AC186" i="11"/>
  <c r="AB186" i="11"/>
  <c r="AA186" i="11"/>
  <c r="Y186" i="11"/>
  <c r="Z186" i="11" s="1"/>
  <c r="A186" i="11"/>
  <c r="AG185" i="11"/>
  <c r="AE185" i="11"/>
  <c r="AD185" i="11"/>
  <c r="AC185" i="11"/>
  <c r="AB185" i="11"/>
  <c r="AA185" i="11"/>
  <c r="AH185" i="11" s="1"/>
  <c r="Y185" i="11"/>
  <c r="Z185" i="11" s="1"/>
  <c r="A185" i="11"/>
  <c r="AG184" i="11"/>
  <c r="AE184" i="11"/>
  <c r="AD184" i="11"/>
  <c r="AC184" i="11"/>
  <c r="AB184" i="11"/>
  <c r="AA184" i="11"/>
  <c r="AH184" i="11" s="1"/>
  <c r="Y184" i="11"/>
  <c r="Z184" i="11" s="1"/>
  <c r="A184" i="11"/>
  <c r="AG183" i="11"/>
  <c r="AE183" i="11"/>
  <c r="AD183" i="11"/>
  <c r="AC183" i="11"/>
  <c r="AB183" i="11"/>
  <c r="AA183" i="11"/>
  <c r="AH183" i="11" s="1"/>
  <c r="Y183" i="11"/>
  <c r="Z183" i="11" s="1"/>
  <c r="A183" i="11"/>
  <c r="AG182" i="11"/>
  <c r="AE182" i="11"/>
  <c r="AD182" i="11"/>
  <c r="AC182" i="11"/>
  <c r="AB182" i="11"/>
  <c r="AA182" i="11"/>
  <c r="AH182" i="11" s="1"/>
  <c r="Y182" i="11"/>
  <c r="Z182" i="11" s="1"/>
  <c r="A182" i="11"/>
  <c r="AG181" i="11"/>
  <c r="AE181" i="11"/>
  <c r="AH181" i="11" s="1"/>
  <c r="AD181" i="11"/>
  <c r="AC181" i="11"/>
  <c r="AB181" i="11"/>
  <c r="AA181" i="11"/>
  <c r="Y181" i="11"/>
  <c r="Z181" i="11" s="1"/>
  <c r="A181" i="11"/>
  <c r="AH180" i="11"/>
  <c r="AG180" i="11"/>
  <c r="AE180" i="11"/>
  <c r="AD180" i="11"/>
  <c r="AC180" i="11"/>
  <c r="AB180" i="11"/>
  <c r="AA180" i="11"/>
  <c r="Y180" i="11"/>
  <c r="Z180" i="11" s="1"/>
  <c r="A180" i="11"/>
  <c r="AH179" i="11"/>
  <c r="AG179" i="11"/>
  <c r="AE179" i="11"/>
  <c r="AD179" i="11"/>
  <c r="AC179" i="11"/>
  <c r="AB179" i="11"/>
  <c r="AA179" i="11"/>
  <c r="Y179" i="11"/>
  <c r="Z179" i="11" s="1"/>
  <c r="A179" i="11"/>
  <c r="AG178" i="11"/>
  <c r="AE178" i="11"/>
  <c r="AD178" i="11"/>
  <c r="AC178" i="11"/>
  <c r="AB178" i="11"/>
  <c r="AA178" i="11"/>
  <c r="AH178" i="11" s="1"/>
  <c r="Y178" i="11"/>
  <c r="Z178" i="11" s="1"/>
  <c r="A178" i="11"/>
  <c r="AG177" i="11"/>
  <c r="AE177" i="11"/>
  <c r="AD177" i="11"/>
  <c r="AC177" i="11"/>
  <c r="AB177" i="11"/>
  <c r="AA177" i="11"/>
  <c r="AH177" i="11" s="1"/>
  <c r="Y177" i="11"/>
  <c r="Z177" i="11" s="1"/>
  <c r="A177" i="11"/>
  <c r="AG176" i="11"/>
  <c r="AE176" i="11"/>
  <c r="AD176" i="11"/>
  <c r="AC176" i="11"/>
  <c r="AB176" i="11"/>
  <c r="AA176" i="11"/>
  <c r="AH176" i="11" s="1"/>
  <c r="Y176" i="11"/>
  <c r="Z176" i="11" s="1"/>
  <c r="A176" i="11"/>
  <c r="AG175" i="11"/>
  <c r="AE175" i="11"/>
  <c r="AD175" i="11"/>
  <c r="AC175" i="11"/>
  <c r="AB175" i="11"/>
  <c r="AA175" i="11"/>
  <c r="AH175" i="11" s="1"/>
  <c r="Y175" i="11"/>
  <c r="Z175" i="11" s="1"/>
  <c r="A175" i="11"/>
  <c r="AG174" i="11"/>
  <c r="AE174" i="11"/>
  <c r="AD174" i="11"/>
  <c r="AC174" i="11"/>
  <c r="AB174" i="11"/>
  <c r="AA174" i="11"/>
  <c r="AH174" i="11" s="1"/>
  <c r="Y174" i="11"/>
  <c r="Z174" i="11" s="1"/>
  <c r="A174" i="11"/>
  <c r="AG173" i="11"/>
  <c r="AE173" i="11"/>
  <c r="AH173" i="11" s="1"/>
  <c r="AD173" i="11"/>
  <c r="AC173" i="11"/>
  <c r="AB173" i="11"/>
  <c r="AA173" i="11"/>
  <c r="Y173" i="11"/>
  <c r="Z173" i="11" s="1"/>
  <c r="A173" i="11"/>
  <c r="AH172" i="11"/>
  <c r="AG172" i="11"/>
  <c r="AE172" i="11"/>
  <c r="AD172" i="11"/>
  <c r="AC172" i="11"/>
  <c r="AB172" i="11"/>
  <c r="AA172" i="11"/>
  <c r="Y172" i="11"/>
  <c r="Z172" i="11" s="1"/>
  <c r="A172" i="11"/>
  <c r="AH171" i="11"/>
  <c r="AG171" i="11"/>
  <c r="AE171" i="11"/>
  <c r="AD171" i="11"/>
  <c r="AC171" i="11"/>
  <c r="AB171" i="11"/>
  <c r="AA171" i="11"/>
  <c r="Y171" i="11"/>
  <c r="Z171" i="11" s="1"/>
  <c r="A171" i="11"/>
  <c r="AG170" i="11"/>
  <c r="AE170" i="11"/>
  <c r="AD170" i="11"/>
  <c r="AC170" i="11"/>
  <c r="AB170" i="11"/>
  <c r="AA170" i="11"/>
  <c r="AH170" i="11" s="1"/>
  <c r="Y170" i="11"/>
  <c r="Z170" i="11" s="1"/>
  <c r="A170" i="11"/>
  <c r="AG169" i="11"/>
  <c r="AE169" i="11"/>
  <c r="AD169" i="11"/>
  <c r="AC169" i="11"/>
  <c r="AB169" i="11"/>
  <c r="AA169" i="11"/>
  <c r="AH169" i="11" s="1"/>
  <c r="Y169" i="11"/>
  <c r="Z169" i="11" s="1"/>
  <c r="A169" i="11"/>
  <c r="AG168" i="11"/>
  <c r="AE168" i="11"/>
  <c r="AD168" i="11"/>
  <c r="AC168" i="11"/>
  <c r="AB168" i="11"/>
  <c r="AA168" i="11"/>
  <c r="AH168" i="11" s="1"/>
  <c r="Y168" i="11"/>
  <c r="Z168" i="11" s="1"/>
  <c r="A168" i="11"/>
  <c r="AG167" i="11"/>
  <c r="AE167" i="11"/>
  <c r="AD167" i="11"/>
  <c r="AC167" i="11"/>
  <c r="AB167" i="11"/>
  <c r="AA167" i="11"/>
  <c r="AH167" i="11" s="1"/>
  <c r="Y167" i="11"/>
  <c r="Z167" i="11" s="1"/>
  <c r="A167" i="11"/>
  <c r="AG166" i="11"/>
  <c r="AE166" i="11"/>
  <c r="AD166" i="11"/>
  <c r="AC166" i="11"/>
  <c r="AB166" i="11"/>
  <c r="AA166" i="11"/>
  <c r="AH166" i="11" s="1"/>
  <c r="Y166" i="11"/>
  <c r="Z166" i="11" s="1"/>
  <c r="A166" i="11"/>
  <c r="AG165" i="11"/>
  <c r="AE165" i="11"/>
  <c r="AH165" i="11" s="1"/>
  <c r="AD165" i="11"/>
  <c r="AC165" i="11"/>
  <c r="AB165" i="11"/>
  <c r="AA165" i="11"/>
  <c r="Y165" i="11"/>
  <c r="Z165" i="11" s="1"/>
  <c r="A165" i="11"/>
  <c r="AH164" i="11"/>
  <c r="AG164" i="11"/>
  <c r="AE164" i="11"/>
  <c r="AD164" i="11"/>
  <c r="AC164" i="11"/>
  <c r="AB164" i="11"/>
  <c r="AA164" i="11"/>
  <c r="Y164" i="11"/>
  <c r="Z164" i="11" s="1"/>
  <c r="A164" i="11"/>
  <c r="AH163" i="11"/>
  <c r="AG163" i="11"/>
  <c r="AE163" i="11"/>
  <c r="AD163" i="11"/>
  <c r="AC163" i="11"/>
  <c r="AB163" i="11"/>
  <c r="AA163" i="11"/>
  <c r="Y163" i="11"/>
  <c r="Z163" i="11" s="1"/>
  <c r="A163" i="11"/>
  <c r="AG162" i="11"/>
  <c r="AE162" i="11"/>
  <c r="AD162" i="11"/>
  <c r="AC162" i="11"/>
  <c r="AB162" i="11"/>
  <c r="AA162" i="11"/>
  <c r="AH162" i="11" s="1"/>
  <c r="Y162" i="11"/>
  <c r="Z162" i="11" s="1"/>
  <c r="A162" i="11"/>
  <c r="AG161" i="11"/>
  <c r="AE161" i="11"/>
  <c r="AD161" i="11"/>
  <c r="AC161" i="11"/>
  <c r="AB161" i="11"/>
  <c r="AA161" i="11"/>
  <c r="AH161" i="11" s="1"/>
  <c r="Y161" i="11"/>
  <c r="Z161" i="11" s="1"/>
  <c r="A161" i="11"/>
  <c r="AG160" i="11"/>
  <c r="AE160" i="11"/>
  <c r="AD160" i="11"/>
  <c r="AC160" i="11"/>
  <c r="AB160" i="11"/>
  <c r="AA160" i="11"/>
  <c r="AH160" i="11" s="1"/>
  <c r="Y160" i="11"/>
  <c r="Z160" i="11" s="1"/>
  <c r="A160" i="11"/>
  <c r="AG159" i="11"/>
  <c r="AE159" i="11"/>
  <c r="AD159" i="11"/>
  <c r="AC159" i="11"/>
  <c r="AB159" i="11"/>
  <c r="AA159" i="11"/>
  <c r="AH159" i="11" s="1"/>
  <c r="Y159" i="11"/>
  <c r="Z159" i="11" s="1"/>
  <c r="A159" i="11"/>
  <c r="AG158" i="11"/>
  <c r="AE158" i="11"/>
  <c r="AD158" i="11"/>
  <c r="AC158" i="11"/>
  <c r="AB158" i="11"/>
  <c r="AA158" i="11"/>
  <c r="AH158" i="11" s="1"/>
  <c r="Y158" i="11"/>
  <c r="Z158" i="11" s="1"/>
  <c r="A158" i="11"/>
  <c r="AG157" i="11"/>
  <c r="AE157" i="11"/>
  <c r="AH157" i="11" s="1"/>
  <c r="AD157" i="11"/>
  <c r="AC157" i="11"/>
  <c r="AB157" i="11"/>
  <c r="AA157" i="11"/>
  <c r="Y157" i="11"/>
  <c r="Z157" i="11" s="1"/>
  <c r="A157" i="11"/>
  <c r="AH156" i="11"/>
  <c r="AG156" i="11"/>
  <c r="AE156" i="11"/>
  <c r="AD156" i="11"/>
  <c r="AC156" i="11"/>
  <c r="AB156" i="11"/>
  <c r="AA156" i="11"/>
  <c r="Y156" i="11"/>
  <c r="Z156" i="11" s="1"/>
  <c r="A156" i="11"/>
  <c r="AH155" i="11"/>
  <c r="AG155" i="11"/>
  <c r="AE155" i="11"/>
  <c r="AD155" i="11"/>
  <c r="AC155" i="11"/>
  <c r="AB155" i="11"/>
  <c r="AA155" i="11"/>
  <c r="Y155" i="11"/>
  <c r="Z155" i="11" s="1"/>
  <c r="A155" i="11"/>
  <c r="AG154" i="11"/>
  <c r="AE154" i="11"/>
  <c r="AD154" i="11"/>
  <c r="AC154" i="11"/>
  <c r="AB154" i="11"/>
  <c r="AA154" i="11"/>
  <c r="AH154" i="11" s="1"/>
  <c r="Y154" i="11"/>
  <c r="Z154" i="11" s="1"/>
  <c r="A154" i="11"/>
  <c r="AG153" i="11"/>
  <c r="AE153" i="11"/>
  <c r="AD153" i="11"/>
  <c r="AC153" i="11"/>
  <c r="AB153" i="11"/>
  <c r="AA153" i="11"/>
  <c r="AH153" i="11" s="1"/>
  <c r="Y153" i="11"/>
  <c r="Z153" i="11" s="1"/>
  <c r="A153" i="11"/>
  <c r="AG152" i="11"/>
  <c r="AE152" i="11"/>
  <c r="AD152" i="11"/>
  <c r="AC152" i="11"/>
  <c r="AB152" i="11"/>
  <c r="AA152" i="11"/>
  <c r="AH152" i="11" s="1"/>
  <c r="Y152" i="11"/>
  <c r="Z152" i="11" s="1"/>
  <c r="A152" i="11"/>
  <c r="AG151" i="11"/>
  <c r="AE151" i="11"/>
  <c r="AD151" i="11"/>
  <c r="AC151" i="11"/>
  <c r="AB151" i="11"/>
  <c r="AA151" i="11"/>
  <c r="AH151" i="11" s="1"/>
  <c r="Y151" i="11"/>
  <c r="Z151" i="11" s="1"/>
  <c r="A151" i="11"/>
  <c r="AG150" i="11"/>
  <c r="AE150" i="11"/>
  <c r="AD150" i="11"/>
  <c r="AC150" i="11"/>
  <c r="AB150" i="11"/>
  <c r="AA150" i="11"/>
  <c r="AH150" i="11" s="1"/>
  <c r="Y150" i="11"/>
  <c r="Z150" i="11" s="1"/>
  <c r="A150" i="11"/>
  <c r="AG149" i="11"/>
  <c r="AE149" i="11"/>
  <c r="AH149" i="11" s="1"/>
  <c r="AD149" i="11"/>
  <c r="AC149" i="11"/>
  <c r="AB149" i="11"/>
  <c r="AA149" i="11"/>
  <c r="Y149" i="11"/>
  <c r="Z149" i="11" s="1"/>
  <c r="A149" i="11"/>
  <c r="AH148" i="11"/>
  <c r="AG148" i="11"/>
  <c r="AE148" i="11"/>
  <c r="AD148" i="11"/>
  <c r="AC148" i="11"/>
  <c r="AB148" i="11"/>
  <c r="AA148" i="11"/>
  <c r="Y148" i="11"/>
  <c r="Z148" i="11" s="1"/>
  <c r="A148" i="11"/>
  <c r="AH147" i="11"/>
  <c r="AG147" i="11"/>
  <c r="AE147" i="11"/>
  <c r="AD147" i="11"/>
  <c r="AC147" i="11"/>
  <c r="AB147" i="11"/>
  <c r="AA147" i="11"/>
  <c r="Y147" i="11"/>
  <c r="Z147" i="11" s="1"/>
  <c r="A147" i="11"/>
  <c r="AG146" i="11"/>
  <c r="AE146" i="11"/>
  <c r="AD146" i="11"/>
  <c r="AC146" i="11"/>
  <c r="AB146" i="11"/>
  <c r="AA146" i="11"/>
  <c r="AH146" i="11" s="1"/>
  <c r="Y146" i="11"/>
  <c r="Z146" i="11" s="1"/>
  <c r="A146" i="11"/>
  <c r="AG145" i="11"/>
  <c r="AE145" i="11"/>
  <c r="AD145" i="11"/>
  <c r="AC145" i="11"/>
  <c r="AB145" i="11"/>
  <c r="AA145" i="11"/>
  <c r="AH145" i="11" s="1"/>
  <c r="Y145" i="11"/>
  <c r="Z145" i="11" s="1"/>
  <c r="A145" i="11"/>
  <c r="AG144" i="11"/>
  <c r="AE144" i="11"/>
  <c r="AD144" i="11"/>
  <c r="AC144" i="11"/>
  <c r="AB144" i="11"/>
  <c r="AA144" i="11"/>
  <c r="AH144" i="11" s="1"/>
  <c r="Y144" i="11"/>
  <c r="Z144" i="11" s="1"/>
  <c r="A144" i="11"/>
  <c r="AG143" i="11"/>
  <c r="AE143" i="11"/>
  <c r="AD143" i="11"/>
  <c r="AC143" i="11"/>
  <c r="AB143" i="11"/>
  <c r="AA143" i="11"/>
  <c r="Y143" i="11"/>
  <c r="Z143" i="11" s="1"/>
  <c r="A143" i="11"/>
  <c r="AG142" i="11"/>
  <c r="AE142" i="11"/>
  <c r="AD142" i="11"/>
  <c r="AC142" i="11"/>
  <c r="AB142" i="11"/>
  <c r="AA142" i="11"/>
  <c r="AH142" i="11" s="1"/>
  <c r="Y142" i="11"/>
  <c r="Z142" i="11" s="1"/>
  <c r="A142" i="11"/>
  <c r="AG141" i="11"/>
  <c r="AE141" i="11"/>
  <c r="AH141" i="11" s="1"/>
  <c r="AD141" i="11"/>
  <c r="AC141" i="11"/>
  <c r="AB141" i="11"/>
  <c r="AA141" i="11"/>
  <c r="Y141" i="11"/>
  <c r="Z141" i="11" s="1"/>
  <c r="A141" i="11"/>
  <c r="AH140" i="11"/>
  <c r="AG140" i="11"/>
  <c r="AE140" i="11"/>
  <c r="AD140" i="11"/>
  <c r="AC140" i="11"/>
  <c r="AB140" i="11"/>
  <c r="AA140" i="11"/>
  <c r="Y140" i="11"/>
  <c r="Z140" i="11" s="1"/>
  <c r="A140" i="11"/>
  <c r="AH139" i="11"/>
  <c r="AG139" i="11"/>
  <c r="AE139" i="11"/>
  <c r="AD139" i="11"/>
  <c r="AC139" i="11"/>
  <c r="AB139" i="11"/>
  <c r="AA139" i="11"/>
  <c r="Y139" i="11"/>
  <c r="Z139" i="11" s="1"/>
  <c r="A139" i="11"/>
  <c r="AG138" i="11"/>
  <c r="AE138" i="11"/>
  <c r="AD138" i="11"/>
  <c r="AC138" i="11"/>
  <c r="AB138" i="11"/>
  <c r="AA138" i="11"/>
  <c r="AH138" i="11" s="1"/>
  <c r="Y138" i="11"/>
  <c r="Z138" i="11" s="1"/>
  <c r="A138" i="11"/>
  <c r="AG137" i="11"/>
  <c r="AE137" i="11"/>
  <c r="AD137" i="11"/>
  <c r="AC137" i="11"/>
  <c r="AB137" i="11"/>
  <c r="AA137" i="11"/>
  <c r="AH137" i="11" s="1"/>
  <c r="Y137" i="11"/>
  <c r="Z137" i="11" s="1"/>
  <c r="A137" i="11"/>
  <c r="AG136" i="11"/>
  <c r="AE136" i="11"/>
  <c r="AD136" i="11"/>
  <c r="AC136" i="11"/>
  <c r="AB136" i="11"/>
  <c r="AA136" i="11"/>
  <c r="AH136" i="11" s="1"/>
  <c r="Y136" i="11"/>
  <c r="Z136" i="11" s="1"/>
  <c r="A136" i="11"/>
  <c r="AG135" i="11"/>
  <c r="AE135" i="11"/>
  <c r="AH135" i="11" s="1"/>
  <c r="AD135" i="11"/>
  <c r="AC135" i="11"/>
  <c r="AB135" i="11"/>
  <c r="AA135" i="11"/>
  <c r="Y135" i="11"/>
  <c r="Z135" i="11" s="1"/>
  <c r="A135" i="11"/>
  <c r="AG134" i="11"/>
  <c r="AE134" i="11"/>
  <c r="AH134" i="11" s="1"/>
  <c r="AD134" i="11"/>
  <c r="AC134" i="11"/>
  <c r="AB134" i="11"/>
  <c r="AA134" i="11"/>
  <c r="Y134" i="11"/>
  <c r="Z134" i="11" s="1"/>
  <c r="A134" i="11"/>
  <c r="AG133" i="11"/>
  <c r="AE133" i="11"/>
  <c r="AH133" i="11" s="1"/>
  <c r="AD133" i="11"/>
  <c r="AC133" i="11"/>
  <c r="AB133" i="11"/>
  <c r="AA133" i="11"/>
  <c r="Y133" i="11"/>
  <c r="Z133" i="11" s="1"/>
  <c r="A133" i="11"/>
  <c r="AH132" i="11"/>
  <c r="AG132" i="11"/>
  <c r="AE132" i="11"/>
  <c r="AD132" i="11"/>
  <c r="AC132" i="11"/>
  <c r="AB132" i="11"/>
  <c r="AA132" i="11"/>
  <c r="Y132" i="11"/>
  <c r="Z132" i="11" s="1"/>
  <c r="A132" i="11"/>
  <c r="AH131" i="11"/>
  <c r="AG131" i="11"/>
  <c r="AE131" i="11"/>
  <c r="AD131" i="11"/>
  <c r="AC131" i="11"/>
  <c r="AB131" i="11"/>
  <c r="AA131" i="11"/>
  <c r="Y131" i="11"/>
  <c r="Z131" i="11" s="1"/>
  <c r="A131" i="11"/>
  <c r="AG130" i="11"/>
  <c r="AE130" i="11"/>
  <c r="AD130" i="11"/>
  <c r="AC130" i="11"/>
  <c r="AB130" i="11"/>
  <c r="AA130" i="11"/>
  <c r="AH130" i="11" s="1"/>
  <c r="Y130" i="11"/>
  <c r="Z130" i="11" s="1"/>
  <c r="A130" i="11"/>
  <c r="AG129" i="11"/>
  <c r="AE129" i="11"/>
  <c r="AD129" i="11"/>
  <c r="AC129" i="11"/>
  <c r="AB129" i="11"/>
  <c r="AA129" i="11"/>
  <c r="AH129" i="11" s="1"/>
  <c r="Y129" i="11"/>
  <c r="Z129" i="11" s="1"/>
  <c r="A129" i="11"/>
  <c r="AG128" i="11"/>
  <c r="AE128" i="11"/>
  <c r="AD128" i="11"/>
  <c r="AC128" i="11"/>
  <c r="AB128" i="11"/>
  <c r="AA128" i="11"/>
  <c r="AH128" i="11" s="1"/>
  <c r="Y128" i="11"/>
  <c r="Z128" i="11" s="1"/>
  <c r="A128" i="11"/>
  <c r="AG127" i="11"/>
  <c r="AE127" i="11"/>
  <c r="AD127" i="11"/>
  <c r="AC127" i="11"/>
  <c r="AB127" i="11"/>
  <c r="AA127" i="11"/>
  <c r="Y127" i="11"/>
  <c r="Z127" i="11" s="1"/>
  <c r="A127" i="11"/>
  <c r="AG126" i="11"/>
  <c r="AE126" i="11"/>
  <c r="AH126" i="11" s="1"/>
  <c r="AD126" i="11"/>
  <c r="AC126" i="11"/>
  <c r="AB126" i="11"/>
  <c r="AA126" i="11"/>
  <c r="Y126" i="11"/>
  <c r="Z126" i="11" s="1"/>
  <c r="A126" i="11"/>
  <c r="AG125" i="11"/>
  <c r="AE125" i="11"/>
  <c r="AH125" i="11" s="1"/>
  <c r="AD125" i="11"/>
  <c r="AC125" i="11"/>
  <c r="AB125" i="11"/>
  <c r="AA125" i="11"/>
  <c r="Y125" i="11"/>
  <c r="Z125" i="11" s="1"/>
  <c r="A125" i="11"/>
  <c r="AH124" i="11"/>
  <c r="AG124" i="11"/>
  <c r="AE124" i="11"/>
  <c r="AD124" i="11"/>
  <c r="AC124" i="11"/>
  <c r="AB124" i="11"/>
  <c r="AA124" i="11"/>
  <c r="Y124" i="11"/>
  <c r="Z124" i="11" s="1"/>
  <c r="A124" i="11"/>
  <c r="AH123" i="11"/>
  <c r="AG123" i="11"/>
  <c r="AE123" i="11"/>
  <c r="AD123" i="11"/>
  <c r="AC123" i="11"/>
  <c r="AB123" i="11"/>
  <c r="AA123" i="11"/>
  <c r="Y123" i="11"/>
  <c r="Z123" i="11" s="1"/>
  <c r="A123" i="11"/>
  <c r="AG122" i="11"/>
  <c r="AE122" i="11"/>
  <c r="AD122" i="11"/>
  <c r="AC122" i="11"/>
  <c r="AB122" i="11"/>
  <c r="AA122" i="11"/>
  <c r="AH122" i="11" s="1"/>
  <c r="Y122" i="11"/>
  <c r="Z122" i="11" s="1"/>
  <c r="A122" i="11"/>
  <c r="AG121" i="11"/>
  <c r="AE121" i="11"/>
  <c r="AD121" i="11"/>
  <c r="AC121" i="11"/>
  <c r="AB121" i="11"/>
  <c r="AA121" i="11"/>
  <c r="AH121" i="11" s="1"/>
  <c r="Y121" i="11"/>
  <c r="Z121" i="11" s="1"/>
  <c r="A121" i="11"/>
  <c r="AG120" i="11"/>
  <c r="AE120" i="11"/>
  <c r="AD120" i="11"/>
  <c r="AC120" i="11"/>
  <c r="AB120" i="11"/>
  <c r="AA120" i="11"/>
  <c r="AH120" i="11" s="1"/>
  <c r="Y120" i="11"/>
  <c r="Z120" i="11" s="1"/>
  <c r="A120" i="11"/>
  <c r="AG119" i="11"/>
  <c r="AE119" i="11"/>
  <c r="AD119" i="11"/>
  <c r="AC119" i="11"/>
  <c r="AB119" i="11"/>
  <c r="AA119" i="11"/>
  <c r="Y119" i="11"/>
  <c r="Z119" i="11" s="1"/>
  <c r="A119" i="11"/>
  <c r="AG118" i="11"/>
  <c r="AE118" i="11"/>
  <c r="AH118" i="11" s="1"/>
  <c r="AD118" i="11"/>
  <c r="AC118" i="11"/>
  <c r="AB118" i="11"/>
  <c r="AA118" i="11"/>
  <c r="Y118" i="11"/>
  <c r="Z118" i="11" s="1"/>
  <c r="A118" i="11"/>
  <c r="AG117" i="11"/>
  <c r="AE117" i="11"/>
  <c r="AH117" i="11" s="1"/>
  <c r="AD117" i="11"/>
  <c r="AC117" i="11"/>
  <c r="AB117" i="11"/>
  <c r="AA117" i="11"/>
  <c r="Y117" i="11"/>
  <c r="Z117" i="11" s="1"/>
  <c r="A117" i="11"/>
  <c r="AH116" i="11"/>
  <c r="AG116" i="11"/>
  <c r="AE116" i="11"/>
  <c r="AD116" i="11"/>
  <c r="AC116" i="11"/>
  <c r="AB116" i="11"/>
  <c r="AA116" i="11"/>
  <c r="Y116" i="11"/>
  <c r="Z116" i="11" s="1"/>
  <c r="A116" i="11"/>
  <c r="AH115" i="11"/>
  <c r="AG115" i="11"/>
  <c r="AE115" i="11"/>
  <c r="AD115" i="11"/>
  <c r="AC115" i="11"/>
  <c r="AB115" i="11"/>
  <c r="AA115" i="11"/>
  <c r="Y115" i="11"/>
  <c r="Z115" i="11" s="1"/>
  <c r="A115" i="11"/>
  <c r="AG114" i="11"/>
  <c r="AE114" i="11"/>
  <c r="AD114" i="11"/>
  <c r="AC114" i="11"/>
  <c r="AB114" i="11"/>
  <c r="AA114" i="11"/>
  <c r="AH114" i="11" s="1"/>
  <c r="Y114" i="11"/>
  <c r="Z114" i="11" s="1"/>
  <c r="A114" i="11"/>
  <c r="AG113" i="11"/>
  <c r="AE113" i="11"/>
  <c r="AD113" i="11"/>
  <c r="AC113" i="11"/>
  <c r="AB113" i="11"/>
  <c r="AA113" i="11"/>
  <c r="AH113" i="11" s="1"/>
  <c r="Y113" i="11"/>
  <c r="Z113" i="11" s="1"/>
  <c r="A113" i="11"/>
  <c r="AG112" i="11"/>
  <c r="AE112" i="11"/>
  <c r="AD112" i="11"/>
  <c r="AC112" i="11"/>
  <c r="AB112" i="11"/>
  <c r="AA112" i="11"/>
  <c r="AH112" i="11" s="1"/>
  <c r="Y112" i="11"/>
  <c r="Z112" i="11" s="1"/>
  <c r="A112" i="11"/>
  <c r="AG111" i="11"/>
  <c r="AE111" i="11"/>
  <c r="AD111" i="11"/>
  <c r="AC111" i="11"/>
  <c r="AB111" i="11"/>
  <c r="AA111" i="11"/>
  <c r="Y111" i="11"/>
  <c r="Z111" i="11" s="1"/>
  <c r="A111" i="11"/>
  <c r="AG110" i="11"/>
  <c r="AE110" i="11"/>
  <c r="AH110" i="11" s="1"/>
  <c r="AD110" i="11"/>
  <c r="AC110" i="11"/>
  <c r="AB110" i="11"/>
  <c r="AA110" i="11"/>
  <c r="Y110" i="11"/>
  <c r="Z110" i="11" s="1"/>
  <c r="A110" i="11"/>
  <c r="AG109" i="11"/>
  <c r="AE109" i="11"/>
  <c r="AH109" i="11" s="1"/>
  <c r="AD109" i="11"/>
  <c r="AC109" i="11"/>
  <c r="AB109" i="11"/>
  <c r="AA109" i="11"/>
  <c r="Y109" i="11"/>
  <c r="Z109" i="11" s="1"/>
  <c r="A109" i="11"/>
  <c r="AH108" i="11"/>
  <c r="AG108" i="11"/>
  <c r="AE108" i="11"/>
  <c r="AD108" i="11"/>
  <c r="AC108" i="11"/>
  <c r="AB108" i="11"/>
  <c r="AA108" i="11"/>
  <c r="Y108" i="11"/>
  <c r="Z108" i="11" s="1"/>
  <c r="A108" i="11"/>
  <c r="AH107" i="11"/>
  <c r="AG107" i="11"/>
  <c r="AE107" i="11"/>
  <c r="AD107" i="11"/>
  <c r="AC107" i="11"/>
  <c r="AB107" i="11"/>
  <c r="AA107" i="11"/>
  <c r="Y107" i="11"/>
  <c r="Z107" i="11" s="1"/>
  <c r="A107" i="11"/>
  <c r="AG106" i="11"/>
  <c r="AE106" i="11"/>
  <c r="AD106" i="11"/>
  <c r="AC106" i="11"/>
  <c r="AB106" i="11"/>
  <c r="AA106" i="11"/>
  <c r="AH106" i="11" s="1"/>
  <c r="Y106" i="11"/>
  <c r="Z106" i="11" s="1"/>
  <c r="A106" i="11"/>
  <c r="AG105" i="11"/>
  <c r="AE105" i="11"/>
  <c r="AD105" i="11"/>
  <c r="AC105" i="11"/>
  <c r="AB105" i="11"/>
  <c r="AA105" i="11"/>
  <c r="AH105" i="11" s="1"/>
  <c r="Y105" i="11"/>
  <c r="Z105" i="11" s="1"/>
  <c r="A105" i="11"/>
  <c r="AG104" i="11"/>
  <c r="AE104" i="11"/>
  <c r="AD104" i="11"/>
  <c r="AC104" i="11"/>
  <c r="AB104" i="11"/>
  <c r="AA104" i="11"/>
  <c r="AH104" i="11" s="1"/>
  <c r="Y104" i="11"/>
  <c r="Z104" i="11" s="1"/>
  <c r="A104" i="11"/>
  <c r="AG103" i="11"/>
  <c r="AE103" i="11"/>
  <c r="AH103" i="11" s="1"/>
  <c r="AD103" i="11"/>
  <c r="AC103" i="11"/>
  <c r="AB103" i="11"/>
  <c r="AA103" i="11"/>
  <c r="Y103" i="11"/>
  <c r="Z103" i="11" s="1"/>
  <c r="A103" i="11"/>
  <c r="AG102" i="11"/>
  <c r="AE102" i="11"/>
  <c r="AH102" i="11" s="1"/>
  <c r="AD102" i="11"/>
  <c r="AC102" i="11"/>
  <c r="AB102" i="11"/>
  <c r="AA102" i="11"/>
  <c r="Y102" i="11"/>
  <c r="Z102" i="11" s="1"/>
  <c r="A102" i="11"/>
  <c r="AG101" i="11"/>
  <c r="AE101" i="11"/>
  <c r="AH101" i="11" s="1"/>
  <c r="AD101" i="11"/>
  <c r="AC101" i="11"/>
  <c r="AB101" i="11"/>
  <c r="AA101" i="11"/>
  <c r="Y101" i="11"/>
  <c r="Z101" i="11" s="1"/>
  <c r="A101" i="11"/>
  <c r="AH100" i="11"/>
  <c r="AG100" i="11"/>
  <c r="AE100" i="11"/>
  <c r="AD100" i="11"/>
  <c r="AC100" i="11"/>
  <c r="AB100" i="11"/>
  <c r="AA100" i="11"/>
  <c r="Y100" i="11"/>
  <c r="Z100" i="11" s="1"/>
  <c r="A100" i="11"/>
  <c r="AH99" i="11"/>
  <c r="AG99" i="11"/>
  <c r="AE99" i="11"/>
  <c r="AD99" i="11"/>
  <c r="AC99" i="11"/>
  <c r="AB99" i="11"/>
  <c r="AA99" i="11"/>
  <c r="Y99" i="11"/>
  <c r="Z99" i="11" s="1"/>
  <c r="A99" i="11"/>
  <c r="AG98" i="11"/>
  <c r="AE98" i="11"/>
  <c r="AD98" i="11"/>
  <c r="AC98" i="11"/>
  <c r="AB98" i="11"/>
  <c r="AA98" i="11"/>
  <c r="AH98" i="11" s="1"/>
  <c r="Y98" i="11"/>
  <c r="Z98" i="11" s="1"/>
  <c r="A98" i="11"/>
  <c r="AG97" i="11"/>
  <c r="AE97" i="11"/>
  <c r="AD97" i="11"/>
  <c r="AC97" i="11"/>
  <c r="AB97" i="11"/>
  <c r="AA97" i="11"/>
  <c r="AH97" i="11" s="1"/>
  <c r="Y97" i="11"/>
  <c r="Z97" i="11" s="1"/>
  <c r="A97" i="11"/>
  <c r="AG96" i="11"/>
  <c r="AE96" i="11"/>
  <c r="AD96" i="11"/>
  <c r="AC96" i="11"/>
  <c r="AB96" i="11"/>
  <c r="AA96" i="11"/>
  <c r="AH96" i="11" s="1"/>
  <c r="Y96" i="11"/>
  <c r="Z96" i="11" s="1"/>
  <c r="A96" i="11"/>
  <c r="AG95" i="11"/>
  <c r="AE95" i="11"/>
  <c r="AD95" i="11"/>
  <c r="AC95" i="11"/>
  <c r="AB95" i="11"/>
  <c r="AA95" i="11"/>
  <c r="Y95" i="11"/>
  <c r="Z95" i="11" s="1"/>
  <c r="A95" i="11"/>
  <c r="AG94" i="11"/>
  <c r="AE94" i="11"/>
  <c r="AH94" i="11" s="1"/>
  <c r="AD94" i="11"/>
  <c r="AC94" i="11"/>
  <c r="AB94" i="11"/>
  <c r="AA94" i="11"/>
  <c r="Y94" i="11"/>
  <c r="Z94" i="11" s="1"/>
  <c r="A94" i="11"/>
  <c r="AG93" i="11"/>
  <c r="AE93" i="11"/>
  <c r="AH93" i="11" s="1"/>
  <c r="AD93" i="11"/>
  <c r="AC93" i="11"/>
  <c r="AB93" i="11"/>
  <c r="AA93" i="11"/>
  <c r="Y93" i="11"/>
  <c r="Z93" i="11" s="1"/>
  <c r="A93" i="11"/>
  <c r="AH92" i="11"/>
  <c r="AG92" i="11"/>
  <c r="AE92" i="11"/>
  <c r="AD92" i="11"/>
  <c r="AC92" i="11"/>
  <c r="AB92" i="11"/>
  <c r="AA92" i="11"/>
  <c r="Y92" i="11"/>
  <c r="Z92" i="11" s="1"/>
  <c r="A92" i="11"/>
  <c r="AH91" i="11"/>
  <c r="AG91" i="11"/>
  <c r="AE91" i="11"/>
  <c r="AD91" i="11"/>
  <c r="AC91" i="11"/>
  <c r="AB91" i="11"/>
  <c r="AA91" i="11"/>
  <c r="Y91" i="11"/>
  <c r="Z91" i="11" s="1"/>
  <c r="A91" i="11"/>
  <c r="AG90" i="11"/>
  <c r="AE90" i="11"/>
  <c r="AD90" i="11"/>
  <c r="AC90" i="11"/>
  <c r="AB90" i="11"/>
  <c r="AA90" i="11"/>
  <c r="AH90" i="11" s="1"/>
  <c r="Y90" i="11"/>
  <c r="Z90" i="11" s="1"/>
  <c r="A90" i="11"/>
  <c r="AG89" i="11"/>
  <c r="AE89" i="11"/>
  <c r="AD89" i="11"/>
  <c r="AC89" i="11"/>
  <c r="AB89" i="11"/>
  <c r="AA89" i="11"/>
  <c r="AH89" i="11" s="1"/>
  <c r="Y89" i="11"/>
  <c r="Z89" i="11" s="1"/>
  <c r="A89" i="11"/>
  <c r="AG88" i="11"/>
  <c r="AE88" i="11"/>
  <c r="AD88" i="11"/>
  <c r="AC88" i="11"/>
  <c r="AB88" i="11"/>
  <c r="AA88" i="11"/>
  <c r="AH88" i="11" s="1"/>
  <c r="Y88" i="11"/>
  <c r="Z88" i="11" s="1"/>
  <c r="A88" i="11"/>
  <c r="AG87" i="11"/>
  <c r="AE87" i="11"/>
  <c r="AD87" i="11"/>
  <c r="AC87" i="11"/>
  <c r="AB87" i="11"/>
  <c r="AA87" i="11"/>
  <c r="Y87" i="11"/>
  <c r="Z87" i="11" s="1"/>
  <c r="A87" i="11"/>
  <c r="AG86" i="11"/>
  <c r="AE86" i="11"/>
  <c r="AH86" i="11" s="1"/>
  <c r="AD86" i="11"/>
  <c r="AC86" i="11"/>
  <c r="AB86" i="11"/>
  <c r="AA86" i="11"/>
  <c r="Y86" i="11"/>
  <c r="Z86" i="11" s="1"/>
  <c r="A86" i="11"/>
  <c r="AG85" i="11"/>
  <c r="AE85" i="11"/>
  <c r="AH85" i="11" s="1"/>
  <c r="AD85" i="11"/>
  <c r="AC85" i="11"/>
  <c r="AB85" i="11"/>
  <c r="AA85" i="11"/>
  <c r="Y85" i="11"/>
  <c r="Z85" i="11" s="1"/>
  <c r="A85" i="11"/>
  <c r="AH84" i="11"/>
  <c r="AG84" i="11"/>
  <c r="AE84" i="11"/>
  <c r="AD84" i="11"/>
  <c r="AC84" i="11"/>
  <c r="AB84" i="11"/>
  <c r="AA84" i="11"/>
  <c r="Y84" i="11"/>
  <c r="Z84" i="11" s="1"/>
  <c r="A84" i="11"/>
  <c r="AH83" i="11"/>
  <c r="AG83" i="11"/>
  <c r="AE83" i="11"/>
  <c r="AD83" i="11"/>
  <c r="AC83" i="11"/>
  <c r="AB83" i="11"/>
  <c r="AA83" i="11"/>
  <c r="Y83" i="11"/>
  <c r="Z83" i="11" s="1"/>
  <c r="A83" i="11"/>
  <c r="AG82" i="11"/>
  <c r="AE82" i="11"/>
  <c r="AD82" i="11"/>
  <c r="AC82" i="11"/>
  <c r="AB82" i="11"/>
  <c r="AA82" i="11"/>
  <c r="AH82" i="11" s="1"/>
  <c r="Y82" i="11"/>
  <c r="Z82" i="11" s="1"/>
  <c r="A82" i="11"/>
  <c r="AG81" i="11"/>
  <c r="AE81" i="11"/>
  <c r="AD81" i="11"/>
  <c r="AC81" i="11"/>
  <c r="AB81" i="11"/>
  <c r="AA81" i="11"/>
  <c r="AH81" i="11" s="1"/>
  <c r="Y81" i="11"/>
  <c r="Z81" i="11" s="1"/>
  <c r="A81" i="11"/>
  <c r="AG80" i="11"/>
  <c r="AE80" i="11"/>
  <c r="AD80" i="11"/>
  <c r="AC80" i="11"/>
  <c r="AB80" i="11"/>
  <c r="AA80" i="11"/>
  <c r="AH80" i="11" s="1"/>
  <c r="Y80" i="11"/>
  <c r="Z80" i="11" s="1"/>
  <c r="A80" i="11"/>
  <c r="AG79" i="11"/>
  <c r="AE79" i="11"/>
  <c r="AD79" i="11"/>
  <c r="AC79" i="11"/>
  <c r="AB79" i="11"/>
  <c r="AA79" i="11"/>
  <c r="Y79" i="11"/>
  <c r="Z79" i="11" s="1"/>
  <c r="A79" i="11"/>
  <c r="AG78" i="11"/>
  <c r="AE78" i="11"/>
  <c r="AH78" i="11" s="1"/>
  <c r="AD78" i="11"/>
  <c r="AC78" i="11"/>
  <c r="AB78" i="11"/>
  <c r="AA78" i="11"/>
  <c r="Y78" i="11"/>
  <c r="Z78" i="11" s="1"/>
  <c r="A78" i="11"/>
  <c r="AG77" i="11"/>
  <c r="AE77" i="11"/>
  <c r="AH77" i="11" s="1"/>
  <c r="AD77" i="11"/>
  <c r="AC77" i="11"/>
  <c r="AB77" i="11"/>
  <c r="AA77" i="11"/>
  <c r="Y77" i="11"/>
  <c r="Z77" i="11" s="1"/>
  <c r="A77" i="11"/>
  <c r="AH76" i="11"/>
  <c r="AG76" i="11"/>
  <c r="AE76" i="11"/>
  <c r="AD76" i="11"/>
  <c r="AC76" i="11"/>
  <c r="AB76" i="11"/>
  <c r="AA76" i="11"/>
  <c r="Y76" i="11"/>
  <c r="Z76" i="11" s="1"/>
  <c r="A76" i="11"/>
  <c r="AH75" i="11"/>
  <c r="AG75" i="11"/>
  <c r="AE75" i="11"/>
  <c r="AD75" i="11"/>
  <c r="AC75" i="11"/>
  <c r="AB75" i="11"/>
  <c r="AA75" i="11"/>
  <c r="Y75" i="11"/>
  <c r="Z75" i="11" s="1"/>
  <c r="A75" i="11"/>
  <c r="AG74" i="11"/>
  <c r="AE74" i="11"/>
  <c r="AD74" i="11"/>
  <c r="AC74" i="11"/>
  <c r="AB74" i="11"/>
  <c r="AA74" i="11"/>
  <c r="AH74" i="11" s="1"/>
  <c r="Y74" i="11"/>
  <c r="Z74" i="11" s="1"/>
  <c r="A74" i="11"/>
  <c r="AG73" i="11"/>
  <c r="AE73" i="11"/>
  <c r="AD73" i="11"/>
  <c r="AC73" i="11"/>
  <c r="AB73" i="11"/>
  <c r="AA73" i="11"/>
  <c r="AH73" i="11" s="1"/>
  <c r="Y73" i="11"/>
  <c r="Z73" i="11" s="1"/>
  <c r="A73" i="11"/>
  <c r="AG72" i="11"/>
  <c r="AE72" i="11"/>
  <c r="AH72" i="11" s="1"/>
  <c r="AD72" i="11"/>
  <c r="AC72" i="11"/>
  <c r="AB72" i="11"/>
  <c r="AA72" i="11"/>
  <c r="Y72" i="11"/>
  <c r="Z72" i="11" s="1"/>
  <c r="A72" i="11"/>
  <c r="AG71" i="11"/>
  <c r="AE71" i="11"/>
  <c r="AH71" i="11" s="1"/>
  <c r="AD71" i="11"/>
  <c r="AC71" i="11"/>
  <c r="AB71" i="11"/>
  <c r="AA71" i="11"/>
  <c r="Y71" i="11"/>
  <c r="Z71" i="11" s="1"/>
  <c r="A71" i="11"/>
  <c r="AG70" i="11"/>
  <c r="AE70" i="11"/>
  <c r="AH70" i="11" s="1"/>
  <c r="AD70" i="11"/>
  <c r="AC70" i="11"/>
  <c r="AB70" i="11"/>
  <c r="AA70" i="11"/>
  <c r="Y70" i="11"/>
  <c r="Z70" i="11" s="1"/>
  <c r="A70" i="11"/>
  <c r="AG69" i="11"/>
  <c r="AE69" i="11"/>
  <c r="AH69" i="11" s="1"/>
  <c r="AD69" i="11"/>
  <c r="AC69" i="11"/>
  <c r="AB69" i="11"/>
  <c r="AA69" i="11"/>
  <c r="Y69" i="11"/>
  <c r="Z69" i="11" s="1"/>
  <c r="A69" i="11"/>
  <c r="AH68" i="11"/>
  <c r="AG68" i="11"/>
  <c r="AE68" i="11"/>
  <c r="AD68" i="11"/>
  <c r="AC68" i="11"/>
  <c r="AB68" i="11"/>
  <c r="AA68" i="11"/>
  <c r="Y68" i="11"/>
  <c r="Z68" i="11" s="1"/>
  <c r="A68" i="11"/>
  <c r="AH67" i="11"/>
  <c r="AG67" i="11"/>
  <c r="AE67" i="11"/>
  <c r="AD67" i="11"/>
  <c r="AC67" i="11"/>
  <c r="AB67" i="11"/>
  <c r="AA67" i="11"/>
  <c r="Y67" i="11"/>
  <c r="Z67" i="11" s="1"/>
  <c r="A67" i="11"/>
  <c r="AG66" i="11"/>
  <c r="AE66" i="11"/>
  <c r="AD66" i="11"/>
  <c r="AC66" i="11"/>
  <c r="AB66" i="11"/>
  <c r="AA66" i="11"/>
  <c r="AH66" i="11" s="1"/>
  <c r="Y66" i="11"/>
  <c r="Z66" i="11" s="1"/>
  <c r="A66" i="11"/>
  <c r="AG65" i="11"/>
  <c r="AE65" i="11"/>
  <c r="AD65" i="11"/>
  <c r="AC65" i="11"/>
  <c r="AB65" i="11"/>
  <c r="AA65" i="11"/>
  <c r="AH65" i="11" s="1"/>
  <c r="Y65" i="11"/>
  <c r="Z65" i="11" s="1"/>
  <c r="A65" i="11"/>
  <c r="AG64" i="11"/>
  <c r="AE64" i="11"/>
  <c r="AD64" i="11"/>
  <c r="AC64" i="11"/>
  <c r="AB64" i="11"/>
  <c r="AA64" i="11"/>
  <c r="AH64" i="11" s="1"/>
  <c r="Y64" i="11"/>
  <c r="Z64" i="11" s="1"/>
  <c r="A64" i="11"/>
  <c r="AG63" i="11"/>
  <c r="AE63" i="11"/>
  <c r="AD63" i="11"/>
  <c r="AC63" i="11"/>
  <c r="AB63" i="11"/>
  <c r="AA63" i="11"/>
  <c r="Y63" i="11"/>
  <c r="Z63" i="11" s="1"/>
  <c r="A63" i="11"/>
  <c r="AG62" i="11"/>
  <c r="AE62" i="11"/>
  <c r="AH62" i="11" s="1"/>
  <c r="AD62" i="11"/>
  <c r="AC62" i="11"/>
  <c r="AB62" i="11"/>
  <c r="AA62" i="11"/>
  <c r="Y62" i="11"/>
  <c r="Z62" i="11" s="1"/>
  <c r="A62" i="11"/>
  <c r="AG61" i="11"/>
  <c r="AE61" i="11"/>
  <c r="AH61" i="11" s="1"/>
  <c r="AD61" i="11"/>
  <c r="AC61" i="11"/>
  <c r="AB61" i="11"/>
  <c r="AA61" i="11"/>
  <c r="Y61" i="11"/>
  <c r="Z61" i="11" s="1"/>
  <c r="A61" i="11"/>
  <c r="AH60" i="11"/>
  <c r="AG60" i="11"/>
  <c r="AE60" i="11"/>
  <c r="AD60" i="11"/>
  <c r="AC60" i="11"/>
  <c r="AB60" i="11"/>
  <c r="AA60" i="11"/>
  <c r="Y60" i="11"/>
  <c r="Z60" i="11" s="1"/>
  <c r="A60" i="11"/>
  <c r="AH59" i="11"/>
  <c r="AG59" i="11"/>
  <c r="AE59" i="11"/>
  <c r="AD59" i="11"/>
  <c r="AC59" i="11"/>
  <c r="AB59" i="11"/>
  <c r="AA59" i="11"/>
  <c r="Y59" i="11"/>
  <c r="Z59" i="11" s="1"/>
  <c r="A59" i="11"/>
  <c r="AG58" i="11"/>
  <c r="AE58" i="11"/>
  <c r="AD58" i="11"/>
  <c r="AC58" i="11"/>
  <c r="AB58" i="11"/>
  <c r="AA58" i="11"/>
  <c r="AH58" i="11" s="1"/>
  <c r="Y58" i="11"/>
  <c r="Z58" i="11" s="1"/>
  <c r="A58" i="11"/>
  <c r="AG57" i="11"/>
  <c r="AE57" i="11"/>
  <c r="AD57" i="11"/>
  <c r="AC57" i="11"/>
  <c r="AB57" i="11"/>
  <c r="AA57" i="11"/>
  <c r="AH57" i="11" s="1"/>
  <c r="Y57" i="11"/>
  <c r="Z57" i="11" s="1"/>
  <c r="A57" i="11"/>
  <c r="AG56" i="11"/>
  <c r="AE56" i="11"/>
  <c r="AD56" i="11"/>
  <c r="AC56" i="11"/>
  <c r="AB56" i="11"/>
  <c r="AA56" i="11"/>
  <c r="AH56" i="11" s="1"/>
  <c r="Y56" i="11"/>
  <c r="Z56" i="11" s="1"/>
  <c r="A56" i="11"/>
  <c r="AG55" i="11"/>
  <c r="AE55" i="11"/>
  <c r="AH55" i="11" s="1"/>
  <c r="AD55" i="11"/>
  <c r="AC55" i="11"/>
  <c r="AB55" i="11"/>
  <c r="AA55" i="11"/>
  <c r="Y55" i="11"/>
  <c r="Z55" i="11" s="1"/>
  <c r="A55" i="11"/>
  <c r="AG54" i="11"/>
  <c r="AE54" i="11"/>
  <c r="AH54" i="11" s="1"/>
  <c r="AD54" i="11"/>
  <c r="AC54" i="11"/>
  <c r="AB54" i="11"/>
  <c r="AA54" i="11"/>
  <c r="Y54" i="11"/>
  <c r="Z54" i="11" s="1"/>
  <c r="A54" i="11"/>
  <c r="AG53" i="11"/>
  <c r="AE53" i="11"/>
  <c r="AH53" i="11" s="1"/>
  <c r="AD53" i="11"/>
  <c r="AC53" i="11"/>
  <c r="AB53" i="11"/>
  <c r="AA53" i="11"/>
  <c r="Y53" i="11"/>
  <c r="Z53" i="11" s="1"/>
  <c r="A53" i="11"/>
  <c r="AH52" i="11"/>
  <c r="AG52" i="11"/>
  <c r="AE52" i="11"/>
  <c r="AD52" i="11"/>
  <c r="AC52" i="11"/>
  <c r="AB52" i="11"/>
  <c r="AA52" i="11"/>
  <c r="Y52" i="11"/>
  <c r="Z52" i="11" s="1"/>
  <c r="A52" i="11"/>
  <c r="AH51" i="11"/>
  <c r="AG51" i="11"/>
  <c r="AE51" i="11"/>
  <c r="AD51" i="11"/>
  <c r="AC51" i="11"/>
  <c r="AB51" i="11"/>
  <c r="AA51" i="11"/>
  <c r="Y51" i="11"/>
  <c r="Z51" i="11" s="1"/>
  <c r="A51" i="11"/>
  <c r="AG50" i="11"/>
  <c r="AE50" i="11"/>
  <c r="AD50" i="11"/>
  <c r="AC50" i="11"/>
  <c r="AB50" i="11"/>
  <c r="AA50" i="11"/>
  <c r="AH50" i="11" s="1"/>
  <c r="Y50" i="11"/>
  <c r="Z50" i="11" s="1"/>
  <c r="A50" i="11"/>
  <c r="AG49" i="11"/>
  <c r="AE49" i="11"/>
  <c r="AD49" i="11"/>
  <c r="AC49" i="11"/>
  <c r="AB49" i="11"/>
  <c r="AA49" i="11"/>
  <c r="AH49" i="11" s="1"/>
  <c r="Y49" i="11"/>
  <c r="Z49" i="11" s="1"/>
  <c r="A49" i="11"/>
  <c r="AG48" i="11"/>
  <c r="AE48" i="11"/>
  <c r="AD48" i="11"/>
  <c r="AC48" i="11"/>
  <c r="AB48" i="11"/>
  <c r="AA48" i="11"/>
  <c r="AH48" i="11" s="1"/>
  <c r="Y48" i="11"/>
  <c r="Z48" i="11" s="1"/>
  <c r="A48" i="11"/>
  <c r="AG47" i="11"/>
  <c r="AE47" i="11"/>
  <c r="AD47" i="11"/>
  <c r="AC47" i="11"/>
  <c r="AB47" i="11"/>
  <c r="AA47" i="11"/>
  <c r="Y47" i="11"/>
  <c r="Z47" i="11" s="1"/>
  <c r="A47" i="11"/>
  <c r="AG46" i="11"/>
  <c r="AE46" i="11"/>
  <c r="AH46" i="11" s="1"/>
  <c r="AD46" i="11"/>
  <c r="AC46" i="11"/>
  <c r="AB46" i="11"/>
  <c r="AA46" i="11"/>
  <c r="Y46" i="11"/>
  <c r="Z46" i="11" s="1"/>
  <c r="A46" i="11"/>
  <c r="AG45" i="11"/>
  <c r="AE45" i="11"/>
  <c r="AH45" i="11" s="1"/>
  <c r="AD45" i="11"/>
  <c r="AC45" i="11"/>
  <c r="AB45" i="11"/>
  <c r="AA45" i="11"/>
  <c r="Y45" i="11"/>
  <c r="Z45" i="11" s="1"/>
  <c r="A45" i="11"/>
  <c r="AH44" i="11"/>
  <c r="AG44" i="11"/>
  <c r="AE44" i="11"/>
  <c r="AD44" i="11"/>
  <c r="AC44" i="11"/>
  <c r="AB44" i="11"/>
  <c r="AA44" i="11"/>
  <c r="Y44" i="11"/>
  <c r="Z44" i="11" s="1"/>
  <c r="A44" i="11"/>
  <c r="AH43" i="11"/>
  <c r="AG43" i="11"/>
  <c r="AE43" i="11"/>
  <c r="AD43" i="11"/>
  <c r="AC43" i="11"/>
  <c r="AB43" i="11"/>
  <c r="AA43" i="11"/>
  <c r="Y43" i="11"/>
  <c r="Z43" i="11" s="1"/>
  <c r="A43" i="11"/>
  <c r="AG42" i="11"/>
  <c r="AE42" i="11"/>
  <c r="AD42" i="11"/>
  <c r="AC42" i="11"/>
  <c r="AB42" i="11"/>
  <c r="AA42" i="11"/>
  <c r="AH42" i="11" s="1"/>
  <c r="Y42" i="11"/>
  <c r="Z42" i="11" s="1"/>
  <c r="A42" i="11"/>
  <c r="AG41" i="11"/>
  <c r="AE41" i="11"/>
  <c r="AD41" i="11"/>
  <c r="AC41" i="11"/>
  <c r="AB41" i="11"/>
  <c r="AA41" i="11"/>
  <c r="AH41" i="11" s="1"/>
  <c r="Y41" i="11"/>
  <c r="Z41" i="11" s="1"/>
  <c r="A41" i="11"/>
  <c r="AG40" i="11"/>
  <c r="AE40" i="11"/>
  <c r="AD40" i="11"/>
  <c r="AC40" i="11"/>
  <c r="AB40" i="11"/>
  <c r="AA40" i="11"/>
  <c r="AH40" i="11" s="1"/>
  <c r="Y40" i="11"/>
  <c r="Z40" i="11" s="1"/>
  <c r="A40" i="11"/>
  <c r="AG39" i="11"/>
  <c r="AE39" i="11"/>
  <c r="AH39" i="11" s="1"/>
  <c r="AD39" i="11"/>
  <c r="AC39" i="11"/>
  <c r="AB39" i="11"/>
  <c r="AA39" i="11"/>
  <c r="Y39" i="11"/>
  <c r="Z39" i="11" s="1"/>
  <c r="A39" i="11"/>
  <c r="AG38" i="11"/>
  <c r="AE38" i="11"/>
  <c r="AH38" i="11" s="1"/>
  <c r="AD38" i="11"/>
  <c r="AC38" i="11"/>
  <c r="AB38" i="11"/>
  <c r="AA38" i="11"/>
  <c r="Y38" i="11"/>
  <c r="Z38" i="11" s="1"/>
  <c r="A38" i="11"/>
  <c r="AG37" i="11"/>
  <c r="AE37" i="11"/>
  <c r="AH37" i="11" s="1"/>
  <c r="AD37" i="11"/>
  <c r="AC37" i="11"/>
  <c r="AB37" i="11"/>
  <c r="AA37" i="11"/>
  <c r="Y37" i="11"/>
  <c r="Z37" i="11" s="1"/>
  <c r="A37" i="11"/>
  <c r="AH36" i="11"/>
  <c r="AG36" i="11"/>
  <c r="AE36" i="11"/>
  <c r="AD36" i="11"/>
  <c r="AC36" i="11"/>
  <c r="AB36" i="11"/>
  <c r="AA36" i="11"/>
  <c r="Y36" i="11"/>
  <c r="Z36" i="11" s="1"/>
  <c r="A36" i="11"/>
  <c r="AH35" i="11"/>
  <c r="AG35" i="11"/>
  <c r="AE35" i="11"/>
  <c r="AD35" i="11"/>
  <c r="AC35" i="11"/>
  <c r="AB35" i="11"/>
  <c r="AA35" i="11"/>
  <c r="Y35" i="11"/>
  <c r="Z35" i="11" s="1"/>
  <c r="A35" i="11"/>
  <c r="AG34" i="11"/>
  <c r="AE34" i="11"/>
  <c r="AD34" i="11"/>
  <c r="AC34" i="11"/>
  <c r="AB34" i="11"/>
  <c r="AA34" i="11"/>
  <c r="AH34" i="11" s="1"/>
  <c r="Y34" i="11"/>
  <c r="Z34" i="11" s="1"/>
  <c r="A34" i="11"/>
  <c r="AG33" i="11"/>
  <c r="AE33" i="11"/>
  <c r="AD33" i="11"/>
  <c r="AC33" i="11"/>
  <c r="AB33" i="11"/>
  <c r="AA33" i="11"/>
  <c r="AH33" i="11" s="1"/>
  <c r="Y33" i="11"/>
  <c r="Z33" i="11" s="1"/>
  <c r="A33" i="11"/>
  <c r="AG32" i="11"/>
  <c r="AE32" i="11"/>
  <c r="AH32" i="11" s="1"/>
  <c r="AD32" i="11"/>
  <c r="AC32" i="11"/>
  <c r="AB32" i="11"/>
  <c r="AA32" i="11"/>
  <c r="Y32" i="11"/>
  <c r="Z32" i="11" s="1"/>
  <c r="A32" i="11"/>
  <c r="AG31" i="11"/>
  <c r="AE31" i="11"/>
  <c r="AD31" i="11"/>
  <c r="AC31" i="11"/>
  <c r="AB31" i="11"/>
  <c r="AA31" i="11"/>
  <c r="Y31" i="11"/>
  <c r="Z31" i="11" s="1"/>
  <c r="A31" i="11"/>
  <c r="AG30" i="11"/>
  <c r="AE30" i="11"/>
  <c r="AD30" i="11"/>
  <c r="AC30" i="11"/>
  <c r="AB30" i="11"/>
  <c r="AA30" i="11"/>
  <c r="AH30" i="11" s="1"/>
  <c r="Y30" i="11"/>
  <c r="Z30" i="11" s="1"/>
  <c r="A30" i="11"/>
  <c r="AG29" i="11"/>
  <c r="AE29" i="11"/>
  <c r="AH29" i="11" s="1"/>
  <c r="AD29" i="11"/>
  <c r="AC29" i="11"/>
  <c r="AB29" i="11"/>
  <c r="AA29" i="11"/>
  <c r="Y29" i="11"/>
  <c r="Z29" i="11" s="1"/>
  <c r="A29" i="11"/>
  <c r="AH28" i="11"/>
  <c r="AG28" i="11"/>
  <c r="AE28" i="11"/>
  <c r="AD28" i="11"/>
  <c r="AC28" i="11"/>
  <c r="AB28" i="11"/>
  <c r="AA28" i="11"/>
  <c r="Y28" i="11"/>
  <c r="Z28" i="11" s="1"/>
  <c r="A28" i="11"/>
  <c r="AH27" i="11"/>
  <c r="AG27" i="11"/>
  <c r="AE27" i="11"/>
  <c r="AD27" i="11"/>
  <c r="AC27" i="11"/>
  <c r="AB27" i="11"/>
  <c r="AA27" i="11"/>
  <c r="Y27" i="11"/>
  <c r="Z27" i="11" s="1"/>
  <c r="A27" i="11"/>
  <c r="AG26" i="11"/>
  <c r="AE26" i="11"/>
  <c r="AD26" i="11"/>
  <c r="AC26" i="11"/>
  <c r="AB26" i="11"/>
  <c r="AA26" i="11"/>
  <c r="AH26" i="11" s="1"/>
  <c r="Y26" i="11"/>
  <c r="Z26" i="11" s="1"/>
  <c r="A26" i="11"/>
  <c r="AG25" i="11"/>
  <c r="AE25" i="11"/>
  <c r="AD25" i="11"/>
  <c r="AC25" i="11"/>
  <c r="AB25" i="11"/>
  <c r="AA25" i="11"/>
  <c r="AH25" i="11" s="1"/>
  <c r="Y25" i="11"/>
  <c r="Z25" i="11" s="1"/>
  <c r="A25" i="11"/>
  <c r="AG24" i="11"/>
  <c r="AE24" i="11"/>
  <c r="AH24" i="11" s="1"/>
  <c r="AD24" i="11"/>
  <c r="AC24" i="11"/>
  <c r="AB24" i="11"/>
  <c r="AA24" i="11"/>
  <c r="Y24" i="11"/>
  <c r="Z24" i="11" s="1"/>
  <c r="A24" i="11"/>
  <c r="AG23" i="11"/>
  <c r="AE23" i="11"/>
  <c r="AH23" i="11" s="1"/>
  <c r="AD23" i="11"/>
  <c r="AC23" i="11"/>
  <c r="AB23" i="11"/>
  <c r="AA23" i="11"/>
  <c r="Y23" i="11"/>
  <c r="Z23" i="11" s="1"/>
  <c r="A23" i="11"/>
  <c r="AG22" i="11"/>
  <c r="AE22" i="11"/>
  <c r="AD22" i="11"/>
  <c r="AC22" i="11"/>
  <c r="AB22" i="11"/>
  <c r="AA22" i="11"/>
  <c r="AH22" i="11" s="1"/>
  <c r="Y22" i="11"/>
  <c r="Z22" i="11" s="1"/>
  <c r="A22" i="11"/>
  <c r="AG21" i="11"/>
  <c r="AE21" i="11"/>
  <c r="AH21" i="11" s="1"/>
  <c r="AD21" i="11"/>
  <c r="AC21" i="11"/>
  <c r="AB21" i="11"/>
  <c r="AA21" i="11"/>
  <c r="Y21" i="11"/>
  <c r="Z21" i="11" s="1"/>
  <c r="A21" i="11"/>
  <c r="AH20" i="11"/>
  <c r="AG20" i="11"/>
  <c r="AE20" i="11"/>
  <c r="AD20" i="11"/>
  <c r="AC20" i="11"/>
  <c r="AB20" i="11"/>
  <c r="AA20" i="11"/>
  <c r="Y20" i="11"/>
  <c r="Z20" i="11" s="1"/>
  <c r="A20" i="11"/>
  <c r="AH19" i="11"/>
  <c r="AG19" i="11"/>
  <c r="AE19" i="11"/>
  <c r="AD19" i="11"/>
  <c r="AC19" i="11"/>
  <c r="AB19" i="11"/>
  <c r="AA19" i="11"/>
  <c r="Y19" i="11"/>
  <c r="Z19" i="11" s="1"/>
  <c r="A19" i="11"/>
  <c r="AG18" i="11"/>
  <c r="AE18" i="11"/>
  <c r="AD18" i="11"/>
  <c r="AC18" i="11"/>
  <c r="AB18" i="11"/>
  <c r="AA18" i="11"/>
  <c r="AH18" i="11" s="1"/>
  <c r="Y18" i="11"/>
  <c r="Z18" i="11" s="1"/>
  <c r="A18" i="11"/>
  <c r="AG17" i="11"/>
  <c r="AE17" i="11"/>
  <c r="AD17" i="11"/>
  <c r="AC17" i="11"/>
  <c r="AB17" i="11"/>
  <c r="AA17" i="11"/>
  <c r="AH17" i="11" s="1"/>
  <c r="Y17" i="11"/>
  <c r="Z17" i="11" s="1"/>
  <c r="A17" i="11"/>
  <c r="AG16" i="11"/>
  <c r="AE16" i="11"/>
  <c r="AD16" i="11"/>
  <c r="AC16" i="11"/>
  <c r="AB16" i="11"/>
  <c r="AA16" i="11"/>
  <c r="Y16" i="11"/>
  <c r="Z16" i="11" s="1"/>
  <c r="A16" i="11"/>
  <c r="AG15" i="11"/>
  <c r="AE15" i="11"/>
  <c r="AD15" i="11"/>
  <c r="AC15" i="11"/>
  <c r="AB15" i="11"/>
  <c r="AA15" i="11"/>
  <c r="Y15" i="11"/>
  <c r="Z15" i="11" s="1"/>
  <c r="A15" i="11"/>
  <c r="AG14" i="11"/>
  <c r="AE14" i="11"/>
  <c r="AD14" i="11"/>
  <c r="AC14" i="11"/>
  <c r="AB14" i="11"/>
  <c r="AA14" i="11"/>
  <c r="Y14" i="11"/>
  <c r="Z14" i="11" s="1"/>
  <c r="A14" i="11"/>
  <c r="AG13" i="11"/>
  <c r="AE13" i="11"/>
  <c r="AH13" i="11" s="1"/>
  <c r="AD13" i="11"/>
  <c r="AC13" i="11"/>
  <c r="AB13" i="11"/>
  <c r="AA13" i="11"/>
  <c r="Y13" i="11"/>
  <c r="Z13" i="11" s="1"/>
  <c r="A13" i="11"/>
  <c r="AH12" i="11"/>
  <c r="AG12" i="11"/>
  <c r="AE12" i="11"/>
  <c r="AD12" i="11"/>
  <c r="AC12" i="11"/>
  <c r="AB12" i="11"/>
  <c r="AA12" i="11"/>
  <c r="Y12" i="11"/>
  <c r="Z12" i="11" s="1"/>
  <c r="A12" i="11"/>
  <c r="AH11" i="11"/>
  <c r="AG11" i="11"/>
  <c r="AE11" i="11"/>
  <c r="AD11" i="11"/>
  <c r="AC11" i="11"/>
  <c r="AB11" i="11"/>
  <c r="AA11" i="11"/>
  <c r="Y11" i="11"/>
  <c r="Z11" i="11" s="1"/>
  <c r="A11" i="11"/>
  <c r="AG10" i="11"/>
  <c r="AE10" i="11"/>
  <c r="AD10" i="11"/>
  <c r="AC10" i="11"/>
  <c r="AB10" i="11"/>
  <c r="AA10" i="11"/>
  <c r="AH10" i="11" s="1"/>
  <c r="Y10" i="11"/>
  <c r="Z10" i="11" s="1"/>
  <c r="A10" i="11"/>
  <c r="AG9" i="11"/>
  <c r="AE9" i="11"/>
  <c r="AD9" i="11"/>
  <c r="AC9" i="11"/>
  <c r="AB9" i="11"/>
  <c r="AA9" i="11"/>
  <c r="AH9" i="11" s="1"/>
  <c r="Y9" i="11"/>
  <c r="Z9" i="11" s="1"/>
  <c r="A9" i="11"/>
  <c r="AG8" i="11"/>
  <c r="AE8" i="11"/>
  <c r="AH8" i="11" s="1"/>
  <c r="AD8" i="11"/>
  <c r="AC8" i="11"/>
  <c r="AB8" i="11"/>
  <c r="AA8" i="11"/>
  <c r="Y8" i="11"/>
  <c r="Z8" i="11" s="1"/>
  <c r="A8" i="11"/>
  <c r="AG7" i="11"/>
  <c r="AE7" i="11"/>
  <c r="AH7" i="11" s="1"/>
  <c r="AD7" i="11"/>
  <c r="AC7" i="11"/>
  <c r="AB7" i="11"/>
  <c r="AA7" i="11"/>
  <c r="Y7" i="11"/>
  <c r="Z7" i="11" s="1"/>
  <c r="A7" i="11"/>
  <c r="AG6" i="11"/>
  <c r="AE6" i="11"/>
  <c r="AD6" i="11"/>
  <c r="AC6" i="11"/>
  <c r="AB6" i="11"/>
  <c r="AA6" i="11"/>
  <c r="Y6" i="11"/>
  <c r="Z6" i="11" s="1"/>
  <c r="A6" i="11"/>
  <c r="AG5" i="11"/>
  <c r="AE5" i="11"/>
  <c r="AH5" i="11" s="1"/>
  <c r="AD5" i="11"/>
  <c r="AC5" i="11"/>
  <c r="AB5" i="11"/>
  <c r="AA5" i="11"/>
  <c r="Y5" i="11"/>
  <c r="Z5" i="11" s="1"/>
  <c r="A5" i="11"/>
  <c r="AH4" i="11"/>
  <c r="AG4" i="11"/>
  <c r="AE4" i="11"/>
  <c r="AD4" i="11"/>
  <c r="AC4" i="11"/>
  <c r="AB4" i="11"/>
  <c r="AA4" i="11"/>
  <c r="Y4" i="11"/>
  <c r="Z4" i="11" s="1"/>
  <c r="A4" i="11"/>
  <c r="AH3" i="11"/>
  <c r="AG3" i="11"/>
  <c r="AE3" i="11"/>
  <c r="AD3" i="11"/>
  <c r="AC3" i="11"/>
  <c r="AB3" i="11"/>
  <c r="AA3" i="11"/>
  <c r="Y3" i="11"/>
  <c r="Z3" i="11" s="1"/>
  <c r="A3" i="11"/>
  <c r="AG2" i="11"/>
  <c r="AE2" i="11"/>
  <c r="AD2" i="11"/>
  <c r="AC2" i="11"/>
  <c r="AB2" i="11"/>
  <c r="AA2" i="11"/>
  <c r="AH2" i="11" s="1"/>
  <c r="Y2" i="11"/>
  <c r="Z2" i="11" s="1"/>
  <c r="A2" i="11"/>
  <c r="A41" i="10"/>
  <c r="E41" i="10" s="1"/>
  <c r="A40" i="10"/>
  <c r="E40" i="10" s="1"/>
  <c r="A39" i="10"/>
  <c r="E39" i="10" s="1"/>
  <c r="A38" i="10"/>
  <c r="E38" i="10" s="1"/>
  <c r="E37" i="10"/>
  <c r="A37" i="10"/>
  <c r="E36" i="10"/>
  <c r="A36" i="10"/>
  <c r="A35" i="10"/>
  <c r="E35" i="10" s="1"/>
  <c r="A34" i="10"/>
  <c r="E34" i="10" s="1"/>
  <c r="E33" i="10"/>
  <c r="A33" i="10"/>
  <c r="A32" i="10"/>
  <c r="E32" i="10" s="1"/>
  <c r="E31" i="10"/>
  <c r="A31" i="10"/>
  <c r="E30" i="10"/>
  <c r="A30" i="10"/>
  <c r="E29" i="10"/>
  <c r="A29" i="10"/>
  <c r="E28" i="10"/>
  <c r="A28" i="10"/>
  <c r="E27" i="10"/>
  <c r="A27" i="10"/>
  <c r="A26" i="10"/>
  <c r="E26" i="10" s="1"/>
  <c r="A25" i="10"/>
  <c r="E25" i="10" s="1"/>
  <c r="A24" i="10"/>
  <c r="E24" i="10" s="1"/>
  <c r="A23" i="10"/>
  <c r="E23" i="10" s="1"/>
  <c r="E22" i="10"/>
  <c r="A22" i="10"/>
  <c r="E21" i="10"/>
  <c r="A21" i="10"/>
  <c r="E20" i="10"/>
  <c r="A20" i="10"/>
  <c r="E19" i="10"/>
  <c r="A19" i="10"/>
  <c r="A18" i="10"/>
  <c r="E18" i="10" s="1"/>
  <c r="A17" i="10"/>
  <c r="E17" i="10" s="1"/>
  <c r="A16" i="10"/>
  <c r="E16" i="10" s="1"/>
  <c r="A15" i="10"/>
  <c r="E15" i="10" s="1"/>
  <c r="E14" i="10"/>
  <c r="A14" i="10"/>
  <c r="E13" i="10"/>
  <c r="A13" i="10"/>
  <c r="E12" i="10"/>
  <c r="A12" i="10"/>
  <c r="E11" i="10"/>
  <c r="A11" i="10"/>
  <c r="A10" i="10"/>
  <c r="E10" i="10" s="1"/>
  <c r="A9" i="10"/>
  <c r="E9" i="10" s="1"/>
  <c r="F5" i="10"/>
  <c r="D5" i="10"/>
  <c r="A5" i="10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Q71" i="6"/>
  <c r="I71" i="6"/>
  <c r="F71" i="6"/>
  <c r="D71" i="6"/>
  <c r="E71" i="6" s="1"/>
  <c r="C71" i="6"/>
  <c r="B71" i="6"/>
  <c r="A71" i="6"/>
  <c r="J71" i="6" s="1"/>
  <c r="S70" i="6"/>
  <c r="N70" i="6"/>
  <c r="M70" i="6"/>
  <c r="P70" i="6" s="1"/>
  <c r="L70" i="6"/>
  <c r="K70" i="6"/>
  <c r="J70" i="6"/>
  <c r="H70" i="6"/>
  <c r="G70" i="6"/>
  <c r="F70" i="6"/>
  <c r="E70" i="6"/>
  <c r="D70" i="6"/>
  <c r="T70" i="6" s="1"/>
  <c r="C70" i="6"/>
  <c r="B70" i="6"/>
  <c r="A70" i="6"/>
  <c r="Q70" i="6" s="1"/>
  <c r="T69" i="6"/>
  <c r="Q69" i="6"/>
  <c r="N69" i="6"/>
  <c r="L69" i="6"/>
  <c r="K69" i="6"/>
  <c r="I69" i="6"/>
  <c r="H69" i="6"/>
  <c r="G69" i="6"/>
  <c r="F69" i="6"/>
  <c r="D69" i="6"/>
  <c r="E69" i="6" s="1"/>
  <c r="C69" i="6"/>
  <c r="B69" i="6"/>
  <c r="A69" i="6"/>
  <c r="M69" i="6" s="1"/>
  <c r="S68" i="6"/>
  <c r="N68" i="6"/>
  <c r="M68" i="6"/>
  <c r="L68" i="6"/>
  <c r="K68" i="6"/>
  <c r="J68" i="6"/>
  <c r="P68" i="6" s="1"/>
  <c r="H68" i="6"/>
  <c r="G68" i="6"/>
  <c r="F68" i="6"/>
  <c r="D68" i="6"/>
  <c r="E68" i="6" s="1"/>
  <c r="C68" i="6"/>
  <c r="B68" i="6"/>
  <c r="A68" i="6"/>
  <c r="Q68" i="6" s="1"/>
  <c r="Q67" i="6"/>
  <c r="N67" i="6"/>
  <c r="L67" i="6"/>
  <c r="K67" i="6"/>
  <c r="I67" i="6"/>
  <c r="H67" i="6"/>
  <c r="G67" i="6"/>
  <c r="D67" i="6"/>
  <c r="E67" i="6" s="1"/>
  <c r="C67" i="6"/>
  <c r="B67" i="6"/>
  <c r="A67" i="6"/>
  <c r="M67" i="6" s="1"/>
  <c r="S66" i="6"/>
  <c r="N66" i="6"/>
  <c r="M66" i="6"/>
  <c r="L66" i="6"/>
  <c r="K66" i="6"/>
  <c r="J66" i="6"/>
  <c r="H66" i="6"/>
  <c r="G66" i="6"/>
  <c r="F66" i="6"/>
  <c r="E66" i="6"/>
  <c r="D66" i="6"/>
  <c r="T66" i="6" s="1"/>
  <c r="C66" i="6"/>
  <c r="B66" i="6"/>
  <c r="A66" i="6"/>
  <c r="Q66" i="6" s="1"/>
  <c r="T65" i="6"/>
  <c r="Q65" i="6"/>
  <c r="N65" i="6"/>
  <c r="L65" i="6"/>
  <c r="K65" i="6"/>
  <c r="I65" i="6"/>
  <c r="H65" i="6"/>
  <c r="G65" i="6"/>
  <c r="F65" i="6"/>
  <c r="D65" i="6"/>
  <c r="E65" i="6" s="1"/>
  <c r="C65" i="6"/>
  <c r="B65" i="6"/>
  <c r="A65" i="6"/>
  <c r="M65" i="6" s="1"/>
  <c r="S64" i="6"/>
  <c r="N64" i="6"/>
  <c r="M64" i="6"/>
  <c r="L64" i="6"/>
  <c r="K64" i="6"/>
  <c r="J64" i="6"/>
  <c r="P64" i="6" s="1"/>
  <c r="H64" i="6"/>
  <c r="G64" i="6"/>
  <c r="F64" i="6"/>
  <c r="E64" i="6"/>
  <c r="D64" i="6"/>
  <c r="T64" i="6" s="1"/>
  <c r="C64" i="6"/>
  <c r="B64" i="6"/>
  <c r="A64" i="6"/>
  <c r="Q64" i="6" s="1"/>
  <c r="Q63" i="6"/>
  <c r="N63" i="6"/>
  <c r="L63" i="6"/>
  <c r="K63" i="6"/>
  <c r="I63" i="6"/>
  <c r="H63" i="6"/>
  <c r="G63" i="6"/>
  <c r="D63" i="6"/>
  <c r="E63" i="6" s="1"/>
  <c r="C63" i="6"/>
  <c r="B63" i="6"/>
  <c r="A63" i="6"/>
  <c r="M63" i="6" s="1"/>
  <c r="S62" i="6"/>
  <c r="N62" i="6"/>
  <c r="M62" i="6"/>
  <c r="L62" i="6"/>
  <c r="K62" i="6"/>
  <c r="J62" i="6"/>
  <c r="P62" i="6" s="1"/>
  <c r="H62" i="6"/>
  <c r="G62" i="6"/>
  <c r="F62" i="6"/>
  <c r="E62" i="6"/>
  <c r="D62" i="6"/>
  <c r="T62" i="6" s="1"/>
  <c r="C62" i="6"/>
  <c r="B62" i="6"/>
  <c r="A62" i="6"/>
  <c r="Q62" i="6" s="1"/>
  <c r="T61" i="6"/>
  <c r="Q61" i="6"/>
  <c r="N61" i="6"/>
  <c r="L61" i="6"/>
  <c r="K61" i="6"/>
  <c r="I61" i="6"/>
  <c r="H61" i="6"/>
  <c r="G61" i="6"/>
  <c r="F61" i="6"/>
  <c r="D61" i="6"/>
  <c r="E61" i="6" s="1"/>
  <c r="C61" i="6"/>
  <c r="B61" i="6"/>
  <c r="A61" i="6"/>
  <c r="M61" i="6" s="1"/>
  <c r="S60" i="6"/>
  <c r="N60" i="6"/>
  <c r="M60" i="6"/>
  <c r="L60" i="6"/>
  <c r="K60" i="6"/>
  <c r="J60" i="6"/>
  <c r="H60" i="6"/>
  <c r="G60" i="6"/>
  <c r="F60" i="6"/>
  <c r="E60" i="6"/>
  <c r="D60" i="6"/>
  <c r="T60" i="6" s="1"/>
  <c r="C60" i="6"/>
  <c r="B60" i="6"/>
  <c r="A60" i="6"/>
  <c r="Q60" i="6" s="1"/>
  <c r="Q59" i="6"/>
  <c r="N59" i="6"/>
  <c r="L59" i="6"/>
  <c r="K59" i="6"/>
  <c r="I59" i="6"/>
  <c r="H59" i="6"/>
  <c r="G59" i="6"/>
  <c r="D59" i="6"/>
  <c r="E59" i="6" s="1"/>
  <c r="C59" i="6"/>
  <c r="B59" i="6"/>
  <c r="A59" i="6"/>
  <c r="M59" i="6" s="1"/>
  <c r="S58" i="6"/>
  <c r="N58" i="6"/>
  <c r="M58" i="6"/>
  <c r="L58" i="6"/>
  <c r="K58" i="6"/>
  <c r="J58" i="6"/>
  <c r="H58" i="6"/>
  <c r="G58" i="6"/>
  <c r="F58" i="6"/>
  <c r="E58" i="6"/>
  <c r="D58" i="6"/>
  <c r="T58" i="6" s="1"/>
  <c r="C58" i="6"/>
  <c r="B58" i="6"/>
  <c r="A58" i="6"/>
  <c r="Q58" i="6" s="1"/>
  <c r="T57" i="6"/>
  <c r="Q57" i="6"/>
  <c r="N57" i="6"/>
  <c r="L57" i="6"/>
  <c r="K57" i="6"/>
  <c r="I57" i="6"/>
  <c r="H57" i="6"/>
  <c r="G57" i="6"/>
  <c r="F57" i="6"/>
  <c r="D57" i="6"/>
  <c r="E57" i="6" s="1"/>
  <c r="C57" i="6"/>
  <c r="B57" i="6"/>
  <c r="A57" i="6"/>
  <c r="M57" i="6" s="1"/>
  <c r="S56" i="6"/>
  <c r="N56" i="6"/>
  <c r="M56" i="6"/>
  <c r="L56" i="6"/>
  <c r="K56" i="6"/>
  <c r="J56" i="6"/>
  <c r="P56" i="6" s="1"/>
  <c r="H56" i="6"/>
  <c r="G56" i="6"/>
  <c r="F56" i="6"/>
  <c r="E56" i="6"/>
  <c r="D56" i="6"/>
  <c r="T56" i="6" s="1"/>
  <c r="C56" i="6"/>
  <c r="B56" i="6"/>
  <c r="A56" i="6"/>
  <c r="Q56" i="6" s="1"/>
  <c r="Q55" i="6"/>
  <c r="N55" i="6"/>
  <c r="L55" i="6"/>
  <c r="K55" i="6"/>
  <c r="I55" i="6"/>
  <c r="H55" i="6"/>
  <c r="G55" i="6"/>
  <c r="D55" i="6"/>
  <c r="E55" i="6" s="1"/>
  <c r="C55" i="6"/>
  <c r="B55" i="6"/>
  <c r="A55" i="6"/>
  <c r="M55" i="6" s="1"/>
  <c r="S54" i="6"/>
  <c r="N54" i="6"/>
  <c r="M54" i="6"/>
  <c r="L54" i="6"/>
  <c r="K54" i="6"/>
  <c r="J54" i="6"/>
  <c r="P54" i="6" s="1"/>
  <c r="H54" i="6"/>
  <c r="G54" i="6"/>
  <c r="F54" i="6"/>
  <c r="E54" i="6"/>
  <c r="D54" i="6"/>
  <c r="T54" i="6" s="1"/>
  <c r="C54" i="6"/>
  <c r="B54" i="6"/>
  <c r="A54" i="6"/>
  <c r="Q54" i="6" s="1"/>
  <c r="T53" i="6"/>
  <c r="Q53" i="6"/>
  <c r="N53" i="6"/>
  <c r="L53" i="6"/>
  <c r="K53" i="6"/>
  <c r="I53" i="6"/>
  <c r="H53" i="6"/>
  <c r="G53" i="6"/>
  <c r="F53" i="6"/>
  <c r="D53" i="6"/>
  <c r="E53" i="6" s="1"/>
  <c r="C53" i="6"/>
  <c r="B53" i="6"/>
  <c r="A53" i="6"/>
  <c r="M53" i="6" s="1"/>
  <c r="S52" i="6"/>
  <c r="N52" i="6"/>
  <c r="M52" i="6"/>
  <c r="L52" i="6"/>
  <c r="K52" i="6"/>
  <c r="J52" i="6"/>
  <c r="H52" i="6"/>
  <c r="G52" i="6"/>
  <c r="F52" i="6"/>
  <c r="E52" i="6"/>
  <c r="D52" i="6"/>
  <c r="T52" i="6" s="1"/>
  <c r="C52" i="6"/>
  <c r="B52" i="6"/>
  <c r="A52" i="6"/>
  <c r="Q52" i="6" s="1"/>
  <c r="Q51" i="6"/>
  <c r="N51" i="6"/>
  <c r="L51" i="6"/>
  <c r="K51" i="6"/>
  <c r="I51" i="6"/>
  <c r="H51" i="6"/>
  <c r="G51" i="6"/>
  <c r="D51" i="6"/>
  <c r="E51" i="6" s="1"/>
  <c r="C51" i="6"/>
  <c r="B51" i="6"/>
  <c r="A51" i="6"/>
  <c r="M51" i="6" s="1"/>
  <c r="S50" i="6"/>
  <c r="N50" i="6"/>
  <c r="M50" i="6"/>
  <c r="L50" i="6"/>
  <c r="K50" i="6"/>
  <c r="J50" i="6"/>
  <c r="H50" i="6"/>
  <c r="G50" i="6"/>
  <c r="F50" i="6"/>
  <c r="E50" i="6"/>
  <c r="D50" i="6"/>
  <c r="T50" i="6" s="1"/>
  <c r="C50" i="6"/>
  <c r="B50" i="6"/>
  <c r="A50" i="6"/>
  <c r="Q50" i="6" s="1"/>
  <c r="T49" i="6"/>
  <c r="Q49" i="6"/>
  <c r="N49" i="6"/>
  <c r="L49" i="6"/>
  <c r="K49" i="6"/>
  <c r="I49" i="6"/>
  <c r="H49" i="6"/>
  <c r="G49" i="6"/>
  <c r="F49" i="6"/>
  <c r="D49" i="6"/>
  <c r="E49" i="6" s="1"/>
  <c r="C49" i="6"/>
  <c r="B49" i="6"/>
  <c r="A49" i="6"/>
  <c r="M49" i="6" s="1"/>
  <c r="S48" i="6"/>
  <c r="N48" i="6"/>
  <c r="M48" i="6"/>
  <c r="L48" i="6"/>
  <c r="K48" i="6"/>
  <c r="J48" i="6"/>
  <c r="P48" i="6" s="1"/>
  <c r="H48" i="6"/>
  <c r="G48" i="6"/>
  <c r="F48" i="6"/>
  <c r="E48" i="6"/>
  <c r="D48" i="6"/>
  <c r="T48" i="6" s="1"/>
  <c r="C48" i="6"/>
  <c r="B48" i="6"/>
  <c r="A48" i="6"/>
  <c r="Q48" i="6" s="1"/>
  <c r="Q47" i="6"/>
  <c r="N47" i="6"/>
  <c r="L47" i="6"/>
  <c r="K47" i="6"/>
  <c r="I47" i="6"/>
  <c r="H47" i="6"/>
  <c r="G47" i="6"/>
  <c r="D47" i="6"/>
  <c r="C47" i="6"/>
  <c r="B47" i="6"/>
  <c r="A47" i="6"/>
  <c r="M47" i="6" s="1"/>
  <c r="S46" i="6"/>
  <c r="N46" i="6"/>
  <c r="M46" i="6"/>
  <c r="L46" i="6"/>
  <c r="K46" i="6"/>
  <c r="J46" i="6"/>
  <c r="P46" i="6" s="1"/>
  <c r="H46" i="6"/>
  <c r="G46" i="6"/>
  <c r="F46" i="6"/>
  <c r="D46" i="6"/>
  <c r="T46" i="6" s="1"/>
  <c r="C46" i="6"/>
  <c r="B46" i="6"/>
  <c r="A46" i="6"/>
  <c r="Q46" i="6" s="1"/>
  <c r="T45" i="6"/>
  <c r="Q45" i="6"/>
  <c r="N45" i="6"/>
  <c r="L45" i="6"/>
  <c r="K45" i="6"/>
  <c r="I45" i="6"/>
  <c r="H45" i="6"/>
  <c r="G45" i="6"/>
  <c r="F45" i="6"/>
  <c r="D45" i="6"/>
  <c r="E45" i="6" s="1"/>
  <c r="C45" i="6"/>
  <c r="B45" i="6"/>
  <c r="A45" i="6"/>
  <c r="M45" i="6" s="1"/>
  <c r="C44" i="6"/>
  <c r="B44" i="6"/>
  <c r="A44" i="6"/>
  <c r="S44" i="6" s="1"/>
  <c r="Q43" i="6"/>
  <c r="N43" i="6"/>
  <c r="M43" i="6"/>
  <c r="I43" i="6"/>
  <c r="H43" i="6"/>
  <c r="F43" i="6"/>
  <c r="D43" i="6"/>
  <c r="E43" i="6" s="1"/>
  <c r="C43" i="6"/>
  <c r="B43" i="6"/>
  <c r="A43" i="6"/>
  <c r="M42" i="6"/>
  <c r="L42" i="6"/>
  <c r="D42" i="6"/>
  <c r="T42" i="6" s="1"/>
  <c r="C42" i="6"/>
  <c r="B42" i="6"/>
  <c r="A42" i="6"/>
  <c r="T41" i="6"/>
  <c r="N41" i="6"/>
  <c r="M41" i="6"/>
  <c r="I41" i="6"/>
  <c r="H41" i="6"/>
  <c r="F41" i="6"/>
  <c r="D41" i="6"/>
  <c r="E41" i="6" s="1"/>
  <c r="C41" i="6"/>
  <c r="B41" i="6"/>
  <c r="A41" i="6"/>
  <c r="Q41" i="6" s="1"/>
  <c r="D40" i="6"/>
  <c r="C40" i="6"/>
  <c r="B40" i="6"/>
  <c r="A40" i="6"/>
  <c r="L40" i="6" s="1"/>
  <c r="Q39" i="6"/>
  <c r="N39" i="6"/>
  <c r="M39" i="6"/>
  <c r="I39" i="6"/>
  <c r="H39" i="6"/>
  <c r="F39" i="6"/>
  <c r="D39" i="6"/>
  <c r="E39" i="6" s="1"/>
  <c r="C39" i="6"/>
  <c r="B39" i="6"/>
  <c r="A39" i="6"/>
  <c r="M38" i="6"/>
  <c r="L38" i="6"/>
  <c r="J38" i="6"/>
  <c r="C38" i="6"/>
  <c r="B38" i="6"/>
  <c r="A38" i="6"/>
  <c r="D38" i="6" s="1"/>
  <c r="N37" i="6"/>
  <c r="M37" i="6"/>
  <c r="I37" i="6"/>
  <c r="H37" i="6"/>
  <c r="F37" i="6"/>
  <c r="D37" i="6"/>
  <c r="E37" i="6" s="1"/>
  <c r="C37" i="6"/>
  <c r="B37" i="6"/>
  <c r="A37" i="6"/>
  <c r="Q37" i="6" s="1"/>
  <c r="L36" i="6"/>
  <c r="J36" i="6"/>
  <c r="D36" i="6"/>
  <c r="E36" i="6" s="1"/>
  <c r="C36" i="6"/>
  <c r="B36" i="6"/>
  <c r="A36" i="6"/>
  <c r="Q35" i="6"/>
  <c r="N35" i="6"/>
  <c r="M35" i="6"/>
  <c r="I35" i="6"/>
  <c r="H35" i="6"/>
  <c r="F35" i="6"/>
  <c r="D35" i="6"/>
  <c r="E35" i="6" s="1"/>
  <c r="C35" i="6"/>
  <c r="B35" i="6"/>
  <c r="A35" i="6"/>
  <c r="J34" i="6"/>
  <c r="C34" i="6"/>
  <c r="B34" i="6"/>
  <c r="A34" i="6"/>
  <c r="M34" i="6" s="1"/>
  <c r="N33" i="6"/>
  <c r="M33" i="6"/>
  <c r="I33" i="6"/>
  <c r="H33" i="6"/>
  <c r="F33" i="6"/>
  <c r="D33" i="6"/>
  <c r="E33" i="6" s="1"/>
  <c r="C33" i="6"/>
  <c r="B33" i="6"/>
  <c r="A33" i="6"/>
  <c r="Q33" i="6" s="1"/>
  <c r="L32" i="6"/>
  <c r="J32" i="6"/>
  <c r="H32" i="6"/>
  <c r="D32" i="6"/>
  <c r="E32" i="6" s="1"/>
  <c r="C32" i="6"/>
  <c r="B32" i="6"/>
  <c r="A32" i="6"/>
  <c r="Q31" i="6"/>
  <c r="N31" i="6"/>
  <c r="M31" i="6"/>
  <c r="I31" i="6"/>
  <c r="H31" i="6"/>
  <c r="F31" i="6"/>
  <c r="D31" i="6"/>
  <c r="E31" i="6" s="1"/>
  <c r="C31" i="6"/>
  <c r="B31" i="6"/>
  <c r="A31" i="6"/>
  <c r="M30" i="6"/>
  <c r="C30" i="6"/>
  <c r="B30" i="6"/>
  <c r="A30" i="6"/>
  <c r="M29" i="6"/>
  <c r="L29" i="6"/>
  <c r="I29" i="6"/>
  <c r="H29" i="6"/>
  <c r="F29" i="6"/>
  <c r="C29" i="6"/>
  <c r="B29" i="6"/>
  <c r="A29" i="6"/>
  <c r="Q28" i="6"/>
  <c r="J28" i="6"/>
  <c r="I28" i="6"/>
  <c r="H28" i="6"/>
  <c r="D28" i="6"/>
  <c r="E28" i="6" s="1"/>
  <c r="C28" i="6"/>
  <c r="B28" i="6"/>
  <c r="A28" i="6"/>
  <c r="Q27" i="6"/>
  <c r="N27" i="6"/>
  <c r="M27" i="6"/>
  <c r="I27" i="6"/>
  <c r="H27" i="6"/>
  <c r="F27" i="6"/>
  <c r="D27" i="6"/>
  <c r="C27" i="6"/>
  <c r="B27" i="6"/>
  <c r="A27" i="6"/>
  <c r="Q26" i="6"/>
  <c r="M26" i="6"/>
  <c r="L26" i="6"/>
  <c r="J26" i="6"/>
  <c r="D26" i="6"/>
  <c r="C26" i="6"/>
  <c r="B26" i="6"/>
  <c r="A26" i="6"/>
  <c r="M25" i="6"/>
  <c r="C25" i="6"/>
  <c r="B25" i="6"/>
  <c r="A25" i="6"/>
  <c r="N25" i="6" s="1"/>
  <c r="J24" i="6"/>
  <c r="H24" i="6"/>
  <c r="D24" i="6"/>
  <c r="E24" i="6" s="1"/>
  <c r="C24" i="6"/>
  <c r="B24" i="6"/>
  <c r="A24" i="6"/>
  <c r="Q24" i="6" s="1"/>
  <c r="Q23" i="6"/>
  <c r="N23" i="6"/>
  <c r="M23" i="6"/>
  <c r="I23" i="6"/>
  <c r="H23" i="6"/>
  <c r="F23" i="6"/>
  <c r="E23" i="6"/>
  <c r="D23" i="6"/>
  <c r="C23" i="6"/>
  <c r="B23" i="6"/>
  <c r="A23" i="6"/>
  <c r="M22" i="6"/>
  <c r="J22" i="6"/>
  <c r="D22" i="6"/>
  <c r="C22" i="6"/>
  <c r="B22" i="6"/>
  <c r="A22" i="6"/>
  <c r="L22" i="6" s="1"/>
  <c r="L21" i="6"/>
  <c r="C21" i="6"/>
  <c r="B21" i="6"/>
  <c r="A21" i="6"/>
  <c r="N21" i="6" s="1"/>
  <c r="L20" i="6"/>
  <c r="I20" i="6"/>
  <c r="D20" i="6"/>
  <c r="E20" i="6" s="1"/>
  <c r="C20" i="6"/>
  <c r="B20" i="6"/>
  <c r="A20" i="6"/>
  <c r="J20" i="6" s="1"/>
  <c r="L19" i="6"/>
  <c r="C19" i="6"/>
  <c r="B19" i="6"/>
  <c r="A19" i="6"/>
  <c r="N19" i="6" s="1"/>
  <c r="L18" i="6"/>
  <c r="I18" i="6"/>
  <c r="D18" i="6"/>
  <c r="E18" i="6" s="1"/>
  <c r="C18" i="6"/>
  <c r="B18" i="6"/>
  <c r="A18" i="6"/>
  <c r="J18" i="6" s="1"/>
  <c r="L17" i="6"/>
  <c r="C17" i="6"/>
  <c r="B17" i="6"/>
  <c r="A17" i="6"/>
  <c r="N17" i="6" s="1"/>
  <c r="I16" i="6"/>
  <c r="C16" i="6"/>
  <c r="B16" i="6"/>
  <c r="A16" i="6"/>
  <c r="N16" i="6" s="1"/>
  <c r="Q15" i="6"/>
  <c r="N15" i="6"/>
  <c r="J15" i="6"/>
  <c r="I15" i="6"/>
  <c r="F15" i="6"/>
  <c r="D15" i="6"/>
  <c r="C15" i="6"/>
  <c r="B15" i="6"/>
  <c r="A15" i="6"/>
  <c r="C14" i="6"/>
  <c r="B14" i="6"/>
  <c r="A14" i="6"/>
  <c r="L14" i="6" s="1"/>
  <c r="J13" i="6"/>
  <c r="I13" i="6"/>
  <c r="C13" i="6"/>
  <c r="B13" i="6"/>
  <c r="A13" i="6"/>
  <c r="Q12" i="6"/>
  <c r="I12" i="6"/>
  <c r="F12" i="6"/>
  <c r="C12" i="6"/>
  <c r="B12" i="6"/>
  <c r="A12" i="6"/>
  <c r="M12" i="6" s="1"/>
  <c r="Q11" i="6"/>
  <c r="N11" i="6"/>
  <c r="J11" i="6"/>
  <c r="I11" i="6"/>
  <c r="F11" i="6"/>
  <c r="D11" i="6"/>
  <c r="C11" i="6"/>
  <c r="B11" i="6"/>
  <c r="A11" i="6"/>
  <c r="M10" i="6"/>
  <c r="L10" i="6"/>
  <c r="C10" i="6"/>
  <c r="B10" i="6"/>
  <c r="A10" i="6"/>
  <c r="J9" i="6"/>
  <c r="I9" i="6"/>
  <c r="C9" i="6"/>
  <c r="B9" i="6"/>
  <c r="A9" i="6"/>
  <c r="D9" i="6" s="1"/>
  <c r="A5" i="6"/>
  <c r="E38" i="6" l="1"/>
  <c r="S10" i="6"/>
  <c r="K10" i="6"/>
  <c r="G10" i="6"/>
  <c r="H10" i="6"/>
  <c r="J10" i="6"/>
  <c r="I10" i="6"/>
  <c r="F10" i="6"/>
  <c r="N10" i="6"/>
  <c r="Q10" i="6"/>
  <c r="D10" i="6"/>
  <c r="E11" i="6"/>
  <c r="E40" i="6"/>
  <c r="Q44" i="6"/>
  <c r="I44" i="6"/>
  <c r="L44" i="6"/>
  <c r="G44" i="6"/>
  <c r="F44" i="6"/>
  <c r="J44" i="6"/>
  <c r="N44" i="6"/>
  <c r="M44" i="6"/>
  <c r="H44" i="6"/>
  <c r="K44" i="6"/>
  <c r="D44" i="6"/>
  <c r="E9" i="6"/>
  <c r="S14" i="6"/>
  <c r="K14" i="6"/>
  <c r="G14" i="6"/>
  <c r="H14" i="6"/>
  <c r="J14" i="6"/>
  <c r="I14" i="6"/>
  <c r="Q14" i="6"/>
  <c r="F14" i="6"/>
  <c r="M14" i="6"/>
  <c r="D14" i="6"/>
  <c r="N14" i="6"/>
  <c r="E22" i="6"/>
  <c r="G13" i="6"/>
  <c r="S13" i="6"/>
  <c r="K13" i="6"/>
  <c r="P13" i="6" s="1"/>
  <c r="H13" i="6"/>
  <c r="L13" i="6"/>
  <c r="E15" i="6"/>
  <c r="E27" i="6"/>
  <c r="L34" i="6"/>
  <c r="S36" i="6"/>
  <c r="K36" i="6"/>
  <c r="P36" i="6" s="1"/>
  <c r="G36" i="6"/>
  <c r="N36" i="6"/>
  <c r="F36" i="6"/>
  <c r="I36" i="6"/>
  <c r="M36" i="6"/>
  <c r="Q36" i="6"/>
  <c r="H40" i="6"/>
  <c r="S42" i="6"/>
  <c r="K42" i="6"/>
  <c r="G42" i="6"/>
  <c r="N42" i="6"/>
  <c r="F42" i="6"/>
  <c r="I42" i="6"/>
  <c r="H42" i="6"/>
  <c r="Q42" i="6"/>
  <c r="S30" i="6"/>
  <c r="K30" i="6"/>
  <c r="G30" i="6"/>
  <c r="N30" i="6"/>
  <c r="F30" i="6"/>
  <c r="I30" i="6"/>
  <c r="H30" i="6"/>
  <c r="Q30" i="6"/>
  <c r="J16" i="6"/>
  <c r="M9" i="6"/>
  <c r="J12" i="6"/>
  <c r="M13" i="6"/>
  <c r="L16" i="6"/>
  <c r="I24" i="6"/>
  <c r="S26" i="6"/>
  <c r="K26" i="6"/>
  <c r="P26" i="6" s="1"/>
  <c r="G26" i="6"/>
  <c r="N26" i="6"/>
  <c r="F26" i="6"/>
  <c r="I26" i="6"/>
  <c r="H26" i="6"/>
  <c r="S28" i="6"/>
  <c r="K28" i="6"/>
  <c r="P28" i="6" s="1"/>
  <c r="G28" i="6"/>
  <c r="N28" i="6"/>
  <c r="F28" i="6"/>
  <c r="M28" i="6"/>
  <c r="L28" i="6"/>
  <c r="J40" i="6"/>
  <c r="D30" i="6"/>
  <c r="S34" i="6"/>
  <c r="K34" i="6"/>
  <c r="P34" i="6" s="1"/>
  <c r="G34" i="6"/>
  <c r="N34" i="6"/>
  <c r="F34" i="6"/>
  <c r="I34" i="6"/>
  <c r="H34" i="6"/>
  <c r="Q34" i="6"/>
  <c r="E46" i="6"/>
  <c r="N9" i="6"/>
  <c r="D13" i="6"/>
  <c r="S18" i="6"/>
  <c r="K18" i="6"/>
  <c r="P18" i="6" s="1"/>
  <c r="G18" i="6"/>
  <c r="H18" i="6"/>
  <c r="Q18" i="6"/>
  <c r="F18" i="6"/>
  <c r="O18" i="6" s="1"/>
  <c r="M18" i="6"/>
  <c r="S20" i="6"/>
  <c r="G5" i="7" s="1"/>
  <c r="K20" i="6"/>
  <c r="P20" i="6" s="1"/>
  <c r="G20" i="6"/>
  <c r="H20" i="6"/>
  <c r="Q20" i="6"/>
  <c r="F20" i="6"/>
  <c r="M20" i="6"/>
  <c r="S22" i="6"/>
  <c r="G29" i="9" s="1"/>
  <c r="K22" i="6"/>
  <c r="P22" i="6" s="1"/>
  <c r="G22" i="6"/>
  <c r="N22" i="6"/>
  <c r="F22" i="6"/>
  <c r="I22" i="6"/>
  <c r="H22" i="6"/>
  <c r="P52" i="6"/>
  <c r="G17" i="6"/>
  <c r="S17" i="6"/>
  <c r="G14" i="7" s="1"/>
  <c r="K17" i="6"/>
  <c r="H17" i="6"/>
  <c r="Q17" i="6"/>
  <c r="F17" i="6"/>
  <c r="M17" i="6"/>
  <c r="G19" i="6"/>
  <c r="S19" i="6"/>
  <c r="K19" i="6"/>
  <c r="H19" i="6"/>
  <c r="Q19" i="6"/>
  <c r="F10" i="9" s="1"/>
  <c r="F19" i="6"/>
  <c r="M19" i="6"/>
  <c r="G21" i="6"/>
  <c r="S21" i="6"/>
  <c r="K21" i="6"/>
  <c r="H21" i="6"/>
  <c r="Q21" i="6"/>
  <c r="F12" i="7" s="1"/>
  <c r="F21" i="6"/>
  <c r="O21" i="6" s="1"/>
  <c r="R21" i="6" s="1"/>
  <c r="E12" i="9" s="1"/>
  <c r="G19" i="10" s="1"/>
  <c r="M21" i="6"/>
  <c r="G25" i="6"/>
  <c r="S25" i="6"/>
  <c r="K25" i="6"/>
  <c r="J25" i="6"/>
  <c r="Q25" i="6"/>
  <c r="D25" i="6"/>
  <c r="O37" i="6"/>
  <c r="E47" i="6"/>
  <c r="T47" i="6"/>
  <c r="S12" i="6"/>
  <c r="K12" i="6"/>
  <c r="G12" i="6"/>
  <c r="O12" i="6" s="1"/>
  <c r="H12" i="6"/>
  <c r="L12" i="6"/>
  <c r="N13" i="6"/>
  <c r="D21" i="6"/>
  <c r="S40" i="6"/>
  <c r="K40" i="6"/>
  <c r="G40" i="6"/>
  <c r="N40" i="6"/>
  <c r="F40" i="6"/>
  <c r="I40" i="6"/>
  <c r="M40" i="6"/>
  <c r="I25" i="6"/>
  <c r="J30" i="6"/>
  <c r="E42" i="6"/>
  <c r="D34" i="9"/>
  <c r="F41" i="10" s="1"/>
  <c r="C33" i="9"/>
  <c r="C40" i="10" s="1"/>
  <c r="D40" i="10" s="1"/>
  <c r="B32" i="9"/>
  <c r="B39" i="10" s="1"/>
  <c r="B33" i="9"/>
  <c r="B40" i="10" s="1"/>
  <c r="C29" i="9"/>
  <c r="C36" i="10" s="1"/>
  <c r="D36" i="10" s="1"/>
  <c r="B28" i="9"/>
  <c r="B35" i="10" s="1"/>
  <c r="G25" i="9"/>
  <c r="C34" i="9"/>
  <c r="C41" i="10" s="1"/>
  <c r="D41" i="10" s="1"/>
  <c r="D30" i="9"/>
  <c r="F37" i="10" s="1"/>
  <c r="B29" i="9"/>
  <c r="B36" i="10" s="1"/>
  <c r="G26" i="9"/>
  <c r="F25" i="9"/>
  <c r="D23" i="9"/>
  <c r="F30" i="10" s="1"/>
  <c r="C22" i="9"/>
  <c r="C29" i="10" s="1"/>
  <c r="D29" i="10" s="1"/>
  <c r="B21" i="9"/>
  <c r="B28" i="10" s="1"/>
  <c r="G18" i="9"/>
  <c r="F17" i="9"/>
  <c r="D15" i="9"/>
  <c r="F22" i="10" s="1"/>
  <c r="C14" i="9"/>
  <c r="C21" i="10" s="1"/>
  <c r="D21" i="10" s="1"/>
  <c r="B13" i="9"/>
  <c r="B20" i="10" s="1"/>
  <c r="G10" i="9"/>
  <c r="F9" i="9"/>
  <c r="D7" i="9"/>
  <c r="F14" i="10" s="1"/>
  <c r="C6" i="9"/>
  <c r="C13" i="10" s="1"/>
  <c r="D13" i="10" s="1"/>
  <c r="B5" i="9"/>
  <c r="B12" i="10" s="1"/>
  <c r="B34" i="9"/>
  <c r="B41" i="10" s="1"/>
  <c r="G32" i="9"/>
  <c r="C30" i="9"/>
  <c r="C37" i="10" s="1"/>
  <c r="D37" i="10" s="1"/>
  <c r="D24" i="9"/>
  <c r="F31" i="10" s="1"/>
  <c r="C23" i="9"/>
  <c r="C30" i="10" s="1"/>
  <c r="D30" i="10" s="1"/>
  <c r="B22" i="9"/>
  <c r="B29" i="10" s="1"/>
  <c r="G19" i="9"/>
  <c r="D16" i="9"/>
  <c r="F23" i="10" s="1"/>
  <c r="C15" i="9"/>
  <c r="C22" i="10" s="1"/>
  <c r="D22" i="10" s="1"/>
  <c r="B14" i="9"/>
  <c r="B21" i="10" s="1"/>
  <c r="G11" i="9"/>
  <c r="F32" i="9"/>
  <c r="D31" i="9"/>
  <c r="F38" i="10" s="1"/>
  <c r="B30" i="9"/>
  <c r="B37" i="10" s="1"/>
  <c r="G28" i="9"/>
  <c r="F27" i="9"/>
  <c r="D25" i="9"/>
  <c r="F32" i="10" s="1"/>
  <c r="C24" i="9"/>
  <c r="C31" i="10" s="1"/>
  <c r="D31" i="10" s="1"/>
  <c r="B23" i="9"/>
  <c r="B30" i="10" s="1"/>
  <c r="G20" i="9"/>
  <c r="F19" i="9"/>
  <c r="D17" i="9"/>
  <c r="F24" i="10" s="1"/>
  <c r="C16" i="9"/>
  <c r="C23" i="10" s="1"/>
  <c r="D23" i="10" s="1"/>
  <c r="B15" i="9"/>
  <c r="B22" i="10" s="1"/>
  <c r="G12" i="9"/>
  <c r="C31" i="9"/>
  <c r="C38" i="10" s="1"/>
  <c r="D38" i="10" s="1"/>
  <c r="F28" i="9"/>
  <c r="D26" i="9"/>
  <c r="F33" i="10" s="1"/>
  <c r="C25" i="9"/>
  <c r="C32" i="10" s="1"/>
  <c r="D32" i="10" s="1"/>
  <c r="B24" i="9"/>
  <c r="B31" i="10" s="1"/>
  <c r="G21" i="9"/>
  <c r="F20" i="9"/>
  <c r="C17" i="9"/>
  <c r="C24" i="10" s="1"/>
  <c r="D24" i="10" s="1"/>
  <c r="B16" i="9"/>
  <c r="B23" i="10" s="1"/>
  <c r="F12" i="9"/>
  <c r="C9" i="9"/>
  <c r="C16" i="10" s="1"/>
  <c r="D16" i="10" s="1"/>
  <c r="B8" i="9"/>
  <c r="B15" i="10" s="1"/>
  <c r="G5" i="9"/>
  <c r="D2" i="9"/>
  <c r="F9" i="10" s="1"/>
  <c r="B31" i="9"/>
  <c r="B38" i="10" s="1"/>
  <c r="D27" i="9"/>
  <c r="F34" i="10" s="1"/>
  <c r="C26" i="9"/>
  <c r="C33" i="10" s="1"/>
  <c r="D33" i="10" s="1"/>
  <c r="B25" i="9"/>
  <c r="B32" i="10" s="1"/>
  <c r="F21" i="9"/>
  <c r="D19" i="9"/>
  <c r="F26" i="10" s="1"/>
  <c r="C18" i="9"/>
  <c r="C25" i="10" s="1"/>
  <c r="D25" i="10" s="1"/>
  <c r="B17" i="9"/>
  <c r="B24" i="10" s="1"/>
  <c r="G14" i="9"/>
  <c r="F13" i="9"/>
  <c r="D11" i="9"/>
  <c r="F18" i="10" s="1"/>
  <c r="C10" i="9"/>
  <c r="C17" i="10" s="1"/>
  <c r="D17" i="10" s="1"/>
  <c r="B9" i="9"/>
  <c r="B16" i="10" s="1"/>
  <c r="D22" i="9"/>
  <c r="F29" i="10" s="1"/>
  <c r="B19" i="9"/>
  <c r="B26" i="10" s="1"/>
  <c r="G15" i="9"/>
  <c r="C13" i="9"/>
  <c r="C20" i="10" s="1"/>
  <c r="D20" i="10" s="1"/>
  <c r="G8" i="9"/>
  <c r="B7" i="9"/>
  <c r="B14" i="10" s="1"/>
  <c r="D5" i="9"/>
  <c r="F12" i="10" s="1"/>
  <c r="G3" i="9"/>
  <c r="C2" i="9"/>
  <c r="C9" i="10" s="1"/>
  <c r="D9" i="10" s="1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D28" i="9"/>
  <c r="F35" i="10" s="1"/>
  <c r="F24" i="9"/>
  <c r="D21" i="9"/>
  <c r="F28" i="10" s="1"/>
  <c r="B18" i="9"/>
  <c r="B25" i="10" s="1"/>
  <c r="C12" i="9"/>
  <c r="C19" i="10" s="1"/>
  <c r="D19" i="10" s="1"/>
  <c r="B10" i="9"/>
  <c r="B17" i="10" s="1"/>
  <c r="D3" i="9"/>
  <c r="F10" i="10" s="1"/>
  <c r="C32" i="9"/>
  <c r="C39" i="10" s="1"/>
  <c r="D39" i="10" s="1"/>
  <c r="C27" i="9"/>
  <c r="C34" i="10" s="1"/>
  <c r="D34" i="10" s="1"/>
  <c r="F23" i="9"/>
  <c r="D20" i="9"/>
  <c r="F27" i="10" s="1"/>
  <c r="G17" i="9"/>
  <c r="F11" i="9"/>
  <c r="B6" i="9"/>
  <c r="B13" i="10" s="1"/>
  <c r="B3" i="9"/>
  <c r="B10" i="10" s="1"/>
  <c r="G15" i="7"/>
  <c r="G12" i="7"/>
  <c r="G11" i="7"/>
  <c r="G10" i="7"/>
  <c r="G9" i="7"/>
  <c r="G8" i="7"/>
  <c r="G4" i="7"/>
  <c r="G3" i="7"/>
  <c r="C28" i="9"/>
  <c r="C35" i="10" s="1"/>
  <c r="D35" i="10" s="1"/>
  <c r="D12" i="9"/>
  <c r="F19" i="10" s="1"/>
  <c r="D6" i="9"/>
  <c r="F13" i="10" s="1"/>
  <c r="B4" i="9"/>
  <c r="B11" i="10" s="1"/>
  <c r="D24" i="7"/>
  <c r="C22" i="7"/>
  <c r="G20" i="7"/>
  <c r="C17" i="7"/>
  <c r="F15" i="7"/>
  <c r="F11" i="7"/>
  <c r="D10" i="7"/>
  <c r="F7" i="7"/>
  <c r="D6" i="7"/>
  <c r="F3" i="7"/>
  <c r="D2" i="7"/>
  <c r="B27" i="9"/>
  <c r="B34" i="10" s="1"/>
  <c r="B12" i="9"/>
  <c r="B19" i="10" s="1"/>
  <c r="F3" i="9"/>
  <c r="B22" i="7"/>
  <c r="B14" i="7"/>
  <c r="B10" i="7"/>
  <c r="B6" i="7"/>
  <c r="B2" i="7"/>
  <c r="F34" i="9"/>
  <c r="B26" i="9"/>
  <c r="B33" i="10" s="1"/>
  <c r="C21" i="9"/>
  <c r="C28" i="10" s="1"/>
  <c r="D28" i="10" s="1"/>
  <c r="F16" i="9"/>
  <c r="C11" i="9"/>
  <c r="C18" i="10" s="1"/>
  <c r="D18" i="10" s="1"/>
  <c r="F8" i="9"/>
  <c r="F5" i="9"/>
  <c r="C3" i="9"/>
  <c r="C10" i="10" s="1"/>
  <c r="D10" i="10" s="1"/>
  <c r="B20" i="7"/>
  <c r="D18" i="7"/>
  <c r="D15" i="7"/>
  <c r="D11" i="7"/>
  <c r="F8" i="7"/>
  <c r="D7" i="7"/>
  <c r="D3" i="7"/>
  <c r="D33" i="9"/>
  <c r="F40" i="10" s="1"/>
  <c r="C20" i="9"/>
  <c r="C27" i="10" s="1"/>
  <c r="D27" i="10" s="1"/>
  <c r="F15" i="9"/>
  <c r="B11" i="9"/>
  <c r="B18" i="10" s="1"/>
  <c r="C8" i="9"/>
  <c r="C15" i="10" s="1"/>
  <c r="D15" i="10" s="1"/>
  <c r="B18" i="7"/>
  <c r="B15" i="7"/>
  <c r="B11" i="7"/>
  <c r="B7" i="7"/>
  <c r="B3" i="7"/>
  <c r="G9" i="6"/>
  <c r="B20" i="9"/>
  <c r="B27" i="10" s="1"/>
  <c r="F14" i="9"/>
  <c r="F7" i="9"/>
  <c r="C5" i="9"/>
  <c r="C12" i="10" s="1"/>
  <c r="D12" i="10" s="1"/>
  <c r="D16" i="7"/>
  <c r="F13" i="7"/>
  <c r="D12" i="7"/>
  <c r="F5" i="7"/>
  <c r="D4" i="7"/>
  <c r="G23" i="9"/>
  <c r="C19" i="9"/>
  <c r="C26" i="10" s="1"/>
  <c r="D26" i="10" s="1"/>
  <c r="G4" i="9"/>
  <c r="C21" i="7"/>
  <c r="B16" i="7"/>
  <c r="B12" i="7"/>
  <c r="B8" i="7"/>
  <c r="B4" i="7"/>
  <c r="F30" i="9"/>
  <c r="C7" i="9"/>
  <c r="C14" i="10" s="1"/>
  <c r="D14" i="10" s="1"/>
  <c r="D4" i="9"/>
  <c r="F11" i="10" s="1"/>
  <c r="B2" i="9"/>
  <c r="B9" i="10" s="1"/>
  <c r="B21" i="7"/>
  <c r="C19" i="7"/>
  <c r="G17" i="7"/>
  <c r="F14" i="7"/>
  <c r="D13" i="7"/>
  <c r="D9" i="7"/>
  <c r="F6" i="7"/>
  <c r="D5" i="7"/>
  <c r="D29" i="9"/>
  <c r="F36" i="10" s="1"/>
  <c r="F22" i="9"/>
  <c r="D13" i="9"/>
  <c r="F20" i="10" s="1"/>
  <c r="F6" i="9"/>
  <c r="C4" i="9"/>
  <c r="C11" i="10" s="1"/>
  <c r="D11" i="10" s="1"/>
  <c r="G24" i="7"/>
  <c r="D22" i="7"/>
  <c r="B13" i="7"/>
  <c r="B9" i="7"/>
  <c r="B5" i="7"/>
  <c r="S9" i="6"/>
  <c r="K9" i="6"/>
  <c r="P9" i="6" s="1"/>
  <c r="H9" i="6"/>
  <c r="L9" i="6"/>
  <c r="S16" i="6"/>
  <c r="G9" i="9" s="1"/>
  <c r="K16" i="6"/>
  <c r="G16" i="6"/>
  <c r="H16" i="6"/>
  <c r="F16" i="6"/>
  <c r="O16" i="6" s="1"/>
  <c r="M16" i="6"/>
  <c r="D17" i="6"/>
  <c r="D14" i="9" s="1"/>
  <c r="F21" i="10" s="1"/>
  <c r="D19" i="6"/>
  <c r="D10" i="9" s="1"/>
  <c r="F17" i="10" s="1"/>
  <c r="F25" i="6"/>
  <c r="O25" i="6" s="1"/>
  <c r="S24" i="6"/>
  <c r="G16" i="7" s="1"/>
  <c r="K24" i="6"/>
  <c r="P24" i="6" s="1"/>
  <c r="G24" i="6"/>
  <c r="N24" i="6"/>
  <c r="F24" i="6"/>
  <c r="O24" i="6" s="1"/>
  <c r="M24" i="6"/>
  <c r="L24" i="6"/>
  <c r="H25" i="6"/>
  <c r="Q40" i="6"/>
  <c r="F26" i="9" s="1"/>
  <c r="Q9" i="6"/>
  <c r="F2" i="7" s="1"/>
  <c r="G11" i="6"/>
  <c r="O11" i="6" s="1"/>
  <c r="S11" i="6"/>
  <c r="G7" i="7" s="1"/>
  <c r="K11" i="6"/>
  <c r="H11" i="6"/>
  <c r="L11" i="6"/>
  <c r="N12" i="6"/>
  <c r="Q13" i="6"/>
  <c r="F4" i="9" s="1"/>
  <c r="G15" i="6"/>
  <c r="O15" i="6" s="1"/>
  <c r="S15" i="6"/>
  <c r="G27" i="9" s="1"/>
  <c r="K15" i="6"/>
  <c r="H15" i="6"/>
  <c r="L15" i="6"/>
  <c r="I17" i="6"/>
  <c r="N18" i="6"/>
  <c r="I19" i="6"/>
  <c r="N20" i="6"/>
  <c r="I21" i="6"/>
  <c r="Q22" i="6"/>
  <c r="F29" i="9" s="1"/>
  <c r="F9" i="6"/>
  <c r="M11" i="6"/>
  <c r="D12" i="6"/>
  <c r="D8" i="9" s="1"/>
  <c r="F15" i="10" s="1"/>
  <c r="F13" i="6"/>
  <c r="O13" i="6" s="1"/>
  <c r="M15" i="6"/>
  <c r="D16" i="6"/>
  <c r="Q16" i="6"/>
  <c r="F9" i="7" s="1"/>
  <c r="J17" i="6"/>
  <c r="P17" i="6" s="1"/>
  <c r="J19" i="6"/>
  <c r="P19" i="6" s="1"/>
  <c r="J21" i="6"/>
  <c r="P21" i="6" s="1"/>
  <c r="L25" i="6"/>
  <c r="E26" i="6"/>
  <c r="G29" i="6"/>
  <c r="O29" i="6" s="1"/>
  <c r="S29" i="6"/>
  <c r="G18" i="7" s="1"/>
  <c r="K29" i="6"/>
  <c r="J29" i="6"/>
  <c r="Q29" i="6"/>
  <c r="F18" i="9" s="1"/>
  <c r="D29" i="6"/>
  <c r="N29" i="6"/>
  <c r="L30" i="6"/>
  <c r="S32" i="6"/>
  <c r="G31" i="9" s="1"/>
  <c r="K32" i="6"/>
  <c r="P32" i="6" s="1"/>
  <c r="G32" i="6"/>
  <c r="N32" i="6"/>
  <c r="F32" i="6"/>
  <c r="I32" i="6"/>
  <c r="M32" i="6"/>
  <c r="Q32" i="6"/>
  <c r="F31" i="9" s="1"/>
  <c r="D34" i="6"/>
  <c r="D32" i="9" s="1"/>
  <c r="F39" i="10" s="1"/>
  <c r="H36" i="6"/>
  <c r="S38" i="6"/>
  <c r="G33" i="9" s="1"/>
  <c r="K38" i="6"/>
  <c r="P38" i="6" s="1"/>
  <c r="G38" i="6"/>
  <c r="N38" i="6"/>
  <c r="F38" i="6"/>
  <c r="I38" i="6"/>
  <c r="H38" i="6"/>
  <c r="Q38" i="6"/>
  <c r="F33" i="9" s="1"/>
  <c r="J42" i="6"/>
  <c r="P42" i="6" s="1"/>
  <c r="T43" i="6"/>
  <c r="O45" i="6"/>
  <c r="O52" i="6"/>
  <c r="R52" i="6" s="1"/>
  <c r="G23" i="6"/>
  <c r="O23" i="6" s="1"/>
  <c r="S23" i="6"/>
  <c r="G13" i="7" s="1"/>
  <c r="K23" i="6"/>
  <c r="J23" i="6"/>
  <c r="L23" i="6"/>
  <c r="G27" i="6"/>
  <c r="O27" i="6" s="1"/>
  <c r="R27" i="6" s="1"/>
  <c r="S27" i="6"/>
  <c r="G30" i="9" s="1"/>
  <c r="K27" i="6"/>
  <c r="J27" i="6"/>
  <c r="P27" i="6" s="1"/>
  <c r="L27" i="6"/>
  <c r="G31" i="6"/>
  <c r="O31" i="6" s="1"/>
  <c r="S31" i="6"/>
  <c r="K31" i="6"/>
  <c r="J31" i="6"/>
  <c r="L31" i="6"/>
  <c r="G35" i="6"/>
  <c r="O35" i="6" s="1"/>
  <c r="R35" i="6" s="1"/>
  <c r="S35" i="6"/>
  <c r="G22" i="9" s="1"/>
  <c r="K35" i="6"/>
  <c r="J35" i="6"/>
  <c r="P35" i="6" s="1"/>
  <c r="L35" i="6"/>
  <c r="G39" i="6"/>
  <c r="O39" i="6" s="1"/>
  <c r="S39" i="6"/>
  <c r="G34" i="9" s="1"/>
  <c r="K39" i="6"/>
  <c r="J39" i="6"/>
  <c r="L39" i="6"/>
  <c r="G43" i="6"/>
  <c r="O43" i="6" s="1"/>
  <c r="R43" i="6" s="1"/>
  <c r="S43" i="6"/>
  <c r="K43" i="6"/>
  <c r="J43" i="6"/>
  <c r="P43" i="6" s="1"/>
  <c r="L43" i="6"/>
  <c r="O49" i="6"/>
  <c r="R49" i="6" s="1"/>
  <c r="O57" i="6"/>
  <c r="O65" i="6"/>
  <c r="P50" i="6"/>
  <c r="P58" i="6"/>
  <c r="P66" i="6"/>
  <c r="G26" i="7"/>
  <c r="P60" i="6"/>
  <c r="O62" i="6"/>
  <c r="R62" i="6" s="1"/>
  <c r="O69" i="6"/>
  <c r="R69" i="6" s="1"/>
  <c r="G33" i="6"/>
  <c r="O33" i="6" s="1"/>
  <c r="R33" i="6" s="1"/>
  <c r="S33" i="6"/>
  <c r="G24" i="9" s="1"/>
  <c r="K33" i="6"/>
  <c r="J33" i="6"/>
  <c r="P33" i="6" s="1"/>
  <c r="L33" i="6"/>
  <c r="G37" i="6"/>
  <c r="S37" i="6"/>
  <c r="K37" i="6"/>
  <c r="J37" i="6"/>
  <c r="L37" i="6"/>
  <c r="G41" i="6"/>
  <c r="O41" i="6" s="1"/>
  <c r="R41" i="6" s="1"/>
  <c r="S41" i="6"/>
  <c r="K41" i="6"/>
  <c r="J41" i="6"/>
  <c r="P41" i="6" s="1"/>
  <c r="L41" i="6"/>
  <c r="O53" i="6"/>
  <c r="O61" i="6"/>
  <c r="J47" i="6"/>
  <c r="P47" i="6" s="1"/>
  <c r="S47" i="6"/>
  <c r="J51" i="6"/>
  <c r="P51" i="6" s="1"/>
  <c r="S51" i="6"/>
  <c r="J55" i="6"/>
  <c r="P55" i="6" s="1"/>
  <c r="S55" i="6"/>
  <c r="G6" i="9" s="1"/>
  <c r="J59" i="6"/>
  <c r="P59" i="6" s="1"/>
  <c r="S59" i="6"/>
  <c r="J63" i="6"/>
  <c r="P63" i="6" s="1"/>
  <c r="S63" i="6"/>
  <c r="J67" i="6"/>
  <c r="P67" i="6" s="1"/>
  <c r="S67" i="6"/>
  <c r="N71" i="6"/>
  <c r="F19" i="7"/>
  <c r="G19" i="7"/>
  <c r="D19" i="7"/>
  <c r="B19" i="7"/>
  <c r="F21" i="7"/>
  <c r="G21" i="7"/>
  <c r="D21" i="7"/>
  <c r="T51" i="6"/>
  <c r="T59" i="6"/>
  <c r="T63" i="6"/>
  <c r="T67" i="6"/>
  <c r="F23" i="7"/>
  <c r="C23" i="7"/>
  <c r="B23" i="7"/>
  <c r="F25" i="7"/>
  <c r="C25" i="7"/>
  <c r="B25" i="7"/>
  <c r="T68" i="6"/>
  <c r="D23" i="7"/>
  <c r="D25" i="7"/>
  <c r="AH15" i="11"/>
  <c r="AH16" i="11"/>
  <c r="AH47" i="11"/>
  <c r="J45" i="6"/>
  <c r="P45" i="6" s="1"/>
  <c r="S45" i="6"/>
  <c r="F47" i="6"/>
  <c r="O47" i="6" s="1"/>
  <c r="J49" i="6"/>
  <c r="P49" i="6" s="1"/>
  <c r="S49" i="6"/>
  <c r="F51" i="6"/>
  <c r="O51" i="6" s="1"/>
  <c r="J53" i="6"/>
  <c r="P53" i="6" s="1"/>
  <c r="S53" i="6"/>
  <c r="F55" i="6"/>
  <c r="O55" i="6" s="1"/>
  <c r="R55" i="6" s="1"/>
  <c r="E6" i="9" s="1"/>
  <c r="G13" i="10" s="1"/>
  <c r="J57" i="6"/>
  <c r="P57" i="6" s="1"/>
  <c r="S57" i="6"/>
  <c r="F59" i="6"/>
  <c r="O59" i="6" s="1"/>
  <c r="J61" i="6"/>
  <c r="P61" i="6" s="1"/>
  <c r="S61" i="6"/>
  <c r="F63" i="6"/>
  <c r="O63" i="6" s="1"/>
  <c r="R63" i="6" s="1"/>
  <c r="J65" i="6"/>
  <c r="P65" i="6" s="1"/>
  <c r="S65" i="6"/>
  <c r="F67" i="6"/>
  <c r="O67" i="6" s="1"/>
  <c r="J69" i="6"/>
  <c r="P69" i="6" s="1"/>
  <c r="S69" i="6"/>
  <c r="H71" i="6"/>
  <c r="T71" i="6"/>
  <c r="F20" i="7"/>
  <c r="C20" i="7"/>
  <c r="G25" i="7"/>
  <c r="G23" i="7"/>
  <c r="F26" i="7"/>
  <c r="C26" i="7"/>
  <c r="AH6" i="11"/>
  <c r="F17" i="7"/>
  <c r="D17" i="7"/>
  <c r="B17" i="7"/>
  <c r="D20" i="7"/>
  <c r="F24" i="7"/>
  <c r="C24" i="7"/>
  <c r="B24" i="7"/>
  <c r="B26" i="7"/>
  <c r="G71" i="6"/>
  <c r="O71" i="6" s="1"/>
  <c r="R71" i="6" s="1"/>
  <c r="M71" i="6"/>
  <c r="S71" i="6"/>
  <c r="K71" i="6"/>
  <c r="P71" i="6" s="1"/>
  <c r="L71" i="6"/>
  <c r="D26" i="7"/>
  <c r="AH14" i="11"/>
  <c r="AH31" i="11"/>
  <c r="AH63" i="11"/>
  <c r="F18" i="7"/>
  <c r="AH79" i="11"/>
  <c r="AH111" i="11"/>
  <c r="I46" i="6"/>
  <c r="O46" i="6" s="1"/>
  <c r="R46" i="6" s="1"/>
  <c r="I48" i="6"/>
  <c r="O48" i="6" s="1"/>
  <c r="R48" i="6" s="1"/>
  <c r="I50" i="6"/>
  <c r="O50" i="6" s="1"/>
  <c r="R50" i="6" s="1"/>
  <c r="I52" i="6"/>
  <c r="I54" i="6"/>
  <c r="O54" i="6" s="1"/>
  <c r="R54" i="6" s="1"/>
  <c r="I56" i="6"/>
  <c r="O56" i="6" s="1"/>
  <c r="R56" i="6" s="1"/>
  <c r="I58" i="6"/>
  <c r="O58" i="6" s="1"/>
  <c r="R58" i="6" s="1"/>
  <c r="I60" i="6"/>
  <c r="O60" i="6" s="1"/>
  <c r="R60" i="6" s="1"/>
  <c r="I62" i="6"/>
  <c r="I64" i="6"/>
  <c r="O64" i="6" s="1"/>
  <c r="R64" i="6" s="1"/>
  <c r="I66" i="6"/>
  <c r="O66" i="6" s="1"/>
  <c r="R66" i="6" s="1"/>
  <c r="I68" i="6"/>
  <c r="O68" i="6" s="1"/>
  <c r="R68" i="6" s="1"/>
  <c r="I70" i="6"/>
  <c r="O70" i="6" s="1"/>
  <c r="R70" i="6" s="1"/>
  <c r="F16" i="7"/>
  <c r="C18" i="7"/>
  <c r="AH87" i="11"/>
  <c r="AH119" i="11"/>
  <c r="F22" i="7"/>
  <c r="AH95" i="11"/>
  <c r="AH127" i="11"/>
  <c r="AH143" i="11"/>
  <c r="T33" i="6" l="1"/>
  <c r="E24" i="7"/>
  <c r="E24" i="9"/>
  <c r="G31" i="10" s="1"/>
  <c r="E22" i="9"/>
  <c r="G29" i="10" s="1"/>
  <c r="E22" i="7"/>
  <c r="T35" i="6"/>
  <c r="T27" i="6"/>
  <c r="H30" i="9" s="1"/>
  <c r="E30" i="9"/>
  <c r="G37" i="10" s="1"/>
  <c r="P31" i="6"/>
  <c r="R31" i="6" s="1"/>
  <c r="R45" i="6"/>
  <c r="O32" i="6"/>
  <c r="R32" i="6" s="1"/>
  <c r="E29" i="6"/>
  <c r="K11" i="10"/>
  <c r="J11" i="10"/>
  <c r="F4" i="7"/>
  <c r="J35" i="10"/>
  <c r="K35" i="10"/>
  <c r="B5" i="10"/>
  <c r="E5" i="10" s="1"/>
  <c r="K9" i="10"/>
  <c r="J9" i="10"/>
  <c r="C5" i="10"/>
  <c r="K17" i="10"/>
  <c r="J17" i="10"/>
  <c r="G13" i="9"/>
  <c r="K22" i="10"/>
  <c r="J22" i="10"/>
  <c r="K36" i="10"/>
  <c r="J36" i="10"/>
  <c r="K40" i="10"/>
  <c r="J40" i="10"/>
  <c r="E25" i="6"/>
  <c r="T25" i="6"/>
  <c r="B5" i="6"/>
  <c r="E10" i="6"/>
  <c r="O9" i="6"/>
  <c r="R9" i="6" s="1"/>
  <c r="H5" i="6"/>
  <c r="G22" i="7"/>
  <c r="J15" i="10"/>
  <c r="K15" i="10"/>
  <c r="K10" i="10"/>
  <c r="J10" i="10"/>
  <c r="G2" i="7"/>
  <c r="K19" i="10"/>
  <c r="J19" i="10"/>
  <c r="G2" i="9"/>
  <c r="O40" i="6"/>
  <c r="R40" i="6" s="1"/>
  <c r="E14" i="6"/>
  <c r="R51" i="6"/>
  <c r="R61" i="6"/>
  <c r="P37" i="6"/>
  <c r="P23" i="6"/>
  <c r="R23" i="6" s="1"/>
  <c r="P29" i="6"/>
  <c r="R29" i="6" s="1"/>
  <c r="F2" i="9"/>
  <c r="E12" i="7"/>
  <c r="G16" i="9"/>
  <c r="K34" i="10"/>
  <c r="J34" i="10"/>
  <c r="K32" i="10"/>
  <c r="J32" i="10"/>
  <c r="J29" i="10"/>
  <c r="K29" i="10"/>
  <c r="P25" i="6"/>
  <c r="E13" i="6"/>
  <c r="E30" i="6"/>
  <c r="P16" i="6"/>
  <c r="R16" i="6" s="1"/>
  <c r="P44" i="6"/>
  <c r="R53" i="6"/>
  <c r="F10" i="7"/>
  <c r="D8" i="7"/>
  <c r="K12" i="10"/>
  <c r="J12" i="10"/>
  <c r="D14" i="7"/>
  <c r="G7" i="9"/>
  <c r="J39" i="10"/>
  <c r="K39" i="10"/>
  <c r="K24" i="10"/>
  <c r="J24" i="10"/>
  <c r="J21" i="10"/>
  <c r="K21" i="10"/>
  <c r="P40" i="6"/>
  <c r="O14" i="6"/>
  <c r="R14" i="6" s="1"/>
  <c r="E28" i="9" s="1"/>
  <c r="G35" i="10" s="1"/>
  <c r="C5" i="6"/>
  <c r="O44" i="6"/>
  <c r="R44" i="6" s="1"/>
  <c r="O10" i="6"/>
  <c r="R10" i="6" s="1"/>
  <c r="T10" i="6" s="1"/>
  <c r="R59" i="6"/>
  <c r="T55" i="6"/>
  <c r="E34" i="6"/>
  <c r="E16" i="6"/>
  <c r="P11" i="6"/>
  <c r="R11" i="6" s="1"/>
  <c r="K27" i="10"/>
  <c r="J27" i="10"/>
  <c r="K18" i="10"/>
  <c r="J18" i="10"/>
  <c r="D9" i="9"/>
  <c r="F16" i="10" s="1"/>
  <c r="K16" i="10"/>
  <c r="J16" i="10"/>
  <c r="D18" i="9"/>
  <c r="F25" i="10" s="1"/>
  <c r="J31" i="10"/>
  <c r="K31" i="10"/>
  <c r="J13" i="10"/>
  <c r="K13" i="10"/>
  <c r="J41" i="10"/>
  <c r="K41" i="10"/>
  <c r="R18" i="6"/>
  <c r="R24" i="6"/>
  <c r="R47" i="6"/>
  <c r="R65" i="6"/>
  <c r="P15" i="6"/>
  <c r="R15" i="6" s="1"/>
  <c r="R25" i="6"/>
  <c r="E6" i="7"/>
  <c r="K14" i="10"/>
  <c r="J14" i="10"/>
  <c r="G6" i="7"/>
  <c r="J23" i="10"/>
  <c r="K23" i="10"/>
  <c r="J37" i="10"/>
  <c r="K37" i="10"/>
  <c r="P30" i="6"/>
  <c r="O17" i="6"/>
  <c r="R17" i="6" s="1"/>
  <c r="O20" i="6"/>
  <c r="R20" i="6" s="1"/>
  <c r="O34" i="6"/>
  <c r="R34" i="6" s="1"/>
  <c r="E32" i="9" s="1"/>
  <c r="G39" i="10" s="1"/>
  <c r="T44" i="6"/>
  <c r="E44" i="6"/>
  <c r="P10" i="6"/>
  <c r="R67" i="6"/>
  <c r="R57" i="6"/>
  <c r="P39" i="6"/>
  <c r="R39" i="6" s="1"/>
  <c r="O38" i="6"/>
  <c r="R38" i="6" s="1"/>
  <c r="R13" i="6"/>
  <c r="E19" i="6"/>
  <c r="K26" i="10"/>
  <c r="J26" i="10"/>
  <c r="K28" i="10"/>
  <c r="J28" i="10"/>
  <c r="K20" i="10"/>
  <c r="J20" i="10"/>
  <c r="K33" i="10"/>
  <c r="J33" i="10"/>
  <c r="T21" i="6"/>
  <c r="E21" i="6"/>
  <c r="O19" i="6"/>
  <c r="R19" i="6" s="1"/>
  <c r="O28" i="6"/>
  <c r="R28" i="6" s="1"/>
  <c r="O26" i="6"/>
  <c r="R26" i="6" s="1"/>
  <c r="O30" i="6"/>
  <c r="R30" i="6" s="1"/>
  <c r="T30" i="6" s="1"/>
  <c r="O42" i="6"/>
  <c r="R42" i="6" s="1"/>
  <c r="P14" i="6"/>
  <c r="E12" i="6"/>
  <c r="E17" i="6"/>
  <c r="K25" i="10"/>
  <c r="J25" i="10"/>
  <c r="K38" i="10"/>
  <c r="J38" i="10"/>
  <c r="K30" i="10"/>
  <c r="J30" i="10"/>
  <c r="R37" i="6"/>
  <c r="O22" i="6"/>
  <c r="R22" i="6" s="1"/>
  <c r="P12" i="6"/>
  <c r="R12" i="6" s="1"/>
  <c r="O36" i="6"/>
  <c r="R36" i="6" s="1"/>
  <c r="H20" i="9" l="1"/>
  <c r="H20" i="7"/>
  <c r="E18" i="9"/>
  <c r="G25" i="10" s="1"/>
  <c r="E18" i="7"/>
  <c r="T29" i="6"/>
  <c r="T39" i="6"/>
  <c r="H34" i="9" s="1"/>
  <c r="E34" i="9"/>
  <c r="G41" i="10" s="1"/>
  <c r="E8" i="9"/>
  <c r="G15" i="10" s="1"/>
  <c r="E8" i="7"/>
  <c r="T12" i="6"/>
  <c r="H3" i="7"/>
  <c r="H3" i="9"/>
  <c r="E27" i="9"/>
  <c r="G34" i="10" s="1"/>
  <c r="T15" i="6"/>
  <c r="H27" i="9" s="1"/>
  <c r="T23" i="6"/>
  <c r="E13" i="9"/>
  <c r="G20" i="10" s="1"/>
  <c r="E13" i="7"/>
  <c r="T11" i="6"/>
  <c r="E7" i="7"/>
  <c r="E7" i="9"/>
  <c r="G14" i="10" s="1"/>
  <c r="E9" i="9"/>
  <c r="G16" i="10" s="1"/>
  <c r="E9" i="7"/>
  <c r="T16" i="6"/>
  <c r="E21" i="9"/>
  <c r="G28" i="10" s="1"/>
  <c r="T31" i="6"/>
  <c r="E21" i="7"/>
  <c r="E4" i="7"/>
  <c r="E4" i="9"/>
  <c r="G11" i="10" s="1"/>
  <c r="E17" i="7"/>
  <c r="T26" i="6"/>
  <c r="E17" i="9"/>
  <c r="G24" i="10" s="1"/>
  <c r="T38" i="6"/>
  <c r="H33" i="9" s="1"/>
  <c r="E33" i="9"/>
  <c r="G40" i="10" s="1"/>
  <c r="T20" i="6"/>
  <c r="E5" i="7"/>
  <c r="E5" i="9"/>
  <c r="G12" i="10" s="1"/>
  <c r="E11" i="9"/>
  <c r="G18" i="10" s="1"/>
  <c r="T18" i="6"/>
  <c r="E11" i="7"/>
  <c r="T22" i="6"/>
  <c r="H29" i="9" s="1"/>
  <c r="E29" i="9"/>
  <c r="G36" i="10" s="1"/>
  <c r="E14" i="9"/>
  <c r="G21" i="10" s="1"/>
  <c r="E14" i="7"/>
  <c r="T17" i="6"/>
  <c r="E19" i="9"/>
  <c r="G26" i="10" s="1"/>
  <c r="E19" i="7"/>
  <c r="T34" i="6"/>
  <c r="H32" i="9" s="1"/>
  <c r="F5" i="6"/>
  <c r="D5" i="6"/>
  <c r="E5" i="6"/>
  <c r="G5" i="6"/>
  <c r="T9" i="6"/>
  <c r="E2" i="7"/>
  <c r="E2" i="9"/>
  <c r="G9" i="10" s="1"/>
  <c r="H22" i="7"/>
  <c r="H22" i="9"/>
  <c r="H24" i="9"/>
  <c r="H24" i="7"/>
  <c r="E25" i="7"/>
  <c r="T36" i="6"/>
  <c r="E25" i="9"/>
  <c r="G32" i="10" s="1"/>
  <c r="E20" i="7"/>
  <c r="E20" i="9"/>
  <c r="G27" i="10" s="1"/>
  <c r="T24" i="6"/>
  <c r="E16" i="9"/>
  <c r="G23" i="10" s="1"/>
  <c r="E16" i="7"/>
  <c r="E26" i="9"/>
  <c r="G33" i="10" s="1"/>
  <c r="E26" i="7"/>
  <c r="T40" i="6"/>
  <c r="T37" i="6"/>
  <c r="E23" i="7"/>
  <c r="E23" i="9"/>
  <c r="G30" i="10" s="1"/>
  <c r="H12" i="9"/>
  <c r="H12" i="7"/>
  <c r="H6" i="7"/>
  <c r="H6" i="9"/>
  <c r="E15" i="7"/>
  <c r="T28" i="6"/>
  <c r="E15" i="9"/>
  <c r="G22" i="10" s="1"/>
  <c r="E10" i="9"/>
  <c r="G17" i="10" s="1"/>
  <c r="E10" i="7"/>
  <c r="T19" i="6"/>
  <c r="T13" i="6"/>
  <c r="T14" i="6"/>
  <c r="H28" i="9" s="1"/>
  <c r="T32" i="6"/>
  <c r="H31" i="9" s="1"/>
  <c r="E31" i="9"/>
  <c r="G38" i="10" s="1"/>
  <c r="H19" i="9"/>
  <c r="H19" i="7"/>
  <c r="E3" i="9"/>
  <c r="G10" i="10" s="1"/>
  <c r="E3" i="7"/>
  <c r="H16" i="7" l="1"/>
  <c r="H16" i="9"/>
  <c r="H9" i="9"/>
  <c r="H9" i="7"/>
  <c r="H13" i="9"/>
  <c r="H13" i="7"/>
  <c r="H15" i="9"/>
  <c r="H15" i="7"/>
  <c r="H11" i="9"/>
  <c r="H11" i="7"/>
  <c r="H26" i="9"/>
  <c r="H26" i="7"/>
  <c r="H18" i="7"/>
  <c r="H18" i="9"/>
  <c r="H25" i="9"/>
  <c r="H25" i="7"/>
  <c r="H2" i="9"/>
  <c r="H2" i="7"/>
  <c r="H14" i="7"/>
  <c r="H14" i="9"/>
  <c r="H23" i="7"/>
  <c r="H23" i="9"/>
  <c r="H10" i="9"/>
  <c r="H10" i="7"/>
  <c r="H5" i="9"/>
  <c r="H5" i="7"/>
  <c r="H7" i="9"/>
  <c r="H7" i="7"/>
  <c r="H8" i="7"/>
  <c r="H8" i="9"/>
  <c r="H17" i="7"/>
  <c r="H17" i="9"/>
  <c r="H4" i="9"/>
  <c r="H4" i="7"/>
  <c r="H21" i="7"/>
  <c r="H21" i="9"/>
</calcChain>
</file>

<file path=xl/sharedStrings.xml><?xml version="1.0" encoding="utf-8"?>
<sst xmlns="http://schemas.openxmlformats.org/spreadsheetml/2006/main" count="4854" uniqueCount="718">
  <si>
    <t>Airport_Code</t>
  </si>
  <si>
    <t>Airport_Name</t>
  </si>
  <si>
    <t>City</t>
  </si>
  <si>
    <t>State</t>
  </si>
  <si>
    <t>Hub_Size</t>
  </si>
  <si>
    <t>Year</t>
  </si>
  <si>
    <t>Enplanements</t>
  </si>
  <si>
    <t>Total_Operating_Revenue</t>
  </si>
  <si>
    <t>Total_Aeronautical_Revenue</t>
  </si>
  <si>
    <t>Total_Commercial_Revenue</t>
  </si>
  <si>
    <t>Food_Beverage_Revenue</t>
  </si>
  <si>
    <t>Retail_Revenue</t>
  </si>
  <si>
    <t>Rental_Car_Revenue</t>
  </si>
  <si>
    <t>Parking_Ground_Revenue</t>
  </si>
  <si>
    <t>Land_Lease_Revenue</t>
  </si>
  <si>
    <t>Terminal_Service_Revenue</t>
  </si>
  <si>
    <t>Hotel_Revenue</t>
  </si>
  <si>
    <t>Other_Commercial_Revenue</t>
  </si>
  <si>
    <t>Operating_Expenses</t>
  </si>
  <si>
    <t>Operating_Income</t>
  </si>
  <si>
    <t>Total_Capex</t>
  </si>
  <si>
    <t>Total_Debt</t>
  </si>
  <si>
    <t>Passenger_Aero_Revenue</t>
  </si>
  <si>
    <t>Data_Source</t>
  </si>
  <si>
    <t>Source_URL</t>
  </si>
  <si>
    <t>Verification_Status</t>
  </si>
  <si>
    <t>Verification_Note</t>
  </si>
  <si>
    <t>ATL</t>
  </si>
  <si>
    <t>Hartsfield/Jackson Atlanta International</t>
  </si>
  <si>
    <t>Atlanta</t>
  </si>
  <si>
    <t>GA</t>
  </si>
  <si>
    <t>Large</t>
  </si>
  <si>
    <t>DWU transcription of FAA CATS Form 127</t>
  </si>
  <si>
    <t>https://dwuconsulting.com/airports/ATL</t>
  </si>
  <si>
    <t>Pilot - verified subset</t>
  </si>
  <si>
    <t>FAA CATS portal is under scheduled maintenance (Sep 23-30, 2026). Verified multi-year CATS fields populated; detailed Form 127 fields not visible in the indexed summary are intentionally left blank pending direct FAA export.</t>
  </si>
  <si>
    <t>DFW</t>
  </si>
  <si>
    <t>Dallas-Fort Worth International</t>
  </si>
  <si>
    <t>Fort Worth</t>
  </si>
  <si>
    <t>TX</t>
  </si>
  <si>
    <t>https://dwuconsulting.com/airports/DFW</t>
  </si>
  <si>
    <t>LAX</t>
  </si>
  <si>
    <t>Los Angeles International</t>
  </si>
  <si>
    <t>Los Angeles</t>
  </si>
  <si>
    <t>CA</t>
  </si>
  <si>
    <t>https://dwuconsulting.com/airports/LAX</t>
  </si>
  <si>
    <t>SEA</t>
  </si>
  <si>
    <t>Seattle-Tacoma International</t>
  </si>
  <si>
    <t>Seattle</t>
  </si>
  <si>
    <t>WA</t>
  </si>
  <si>
    <t>https://dwuconsulting.com/airports/SEA</t>
  </si>
  <si>
    <t>CLE</t>
  </si>
  <si>
    <t>Cleveland-Hopkins International</t>
  </si>
  <si>
    <t>Cleveland</t>
  </si>
  <si>
    <t>OH</t>
  </si>
  <si>
    <t>Medium</t>
  </si>
  <si>
    <t>https://dwuconsulting.com/airports/CLE</t>
  </si>
  <si>
    <t>DEN</t>
  </si>
  <si>
    <t>Denver International</t>
  </si>
  <si>
    <t>Denver</t>
  </si>
  <si>
    <t>CO</t>
  </si>
  <si>
    <t>https://dwuconsulting.com/airports/DEN</t>
  </si>
  <si>
    <t>Expanded - verified CATS subset</t>
  </si>
  <si>
    <t>2019-2024 multi-year fields verified from tables citing FAA CATS Form 127. Total Aero, Total Commercial, Land Lease, Hotel, and Other Commercial remain blank until direct FAA CATS export is available.</t>
  </si>
  <si>
    <t>ORD</t>
  </si>
  <si>
    <t>Chicago O'Hare International</t>
  </si>
  <si>
    <t>Chicago</t>
  </si>
  <si>
    <t>IL</t>
  </si>
  <si>
    <t>https://dwuconsulting.com/airports/ORD</t>
  </si>
  <si>
    <t>LAS</t>
  </si>
  <si>
    <t>Harry Reid International</t>
  </si>
  <si>
    <t>Las Vegas</t>
  </si>
  <si>
    <t>NV</t>
  </si>
  <si>
    <t>https://dwuconsulting.com/airports/LAS</t>
  </si>
  <si>
    <t>PHX</t>
  </si>
  <si>
    <t>Phoenix Sky Harbor International</t>
  </si>
  <si>
    <t>Phoenix</t>
  </si>
  <si>
    <t>AZ</t>
  </si>
  <si>
    <t>https://dwuconsulting.com/airports/PHX</t>
  </si>
  <si>
    <t>MIA</t>
  </si>
  <si>
    <t>Miami International</t>
  </si>
  <si>
    <t>Miami</t>
  </si>
  <si>
    <t>FL</t>
  </si>
  <si>
    <t>https://dwuconsulting.com/airports/MIA</t>
  </si>
  <si>
    <t>SFO</t>
  </si>
  <si>
    <t>San Francisco International</t>
  </si>
  <si>
    <t>San Francisco</t>
  </si>
  <si>
    <t>https://dwuconsulting.com/airports/SFO</t>
  </si>
  <si>
    <t>IAH</t>
  </si>
  <si>
    <t>George Bush Intcntl/Houston</t>
  </si>
  <si>
    <t>Houston</t>
  </si>
  <si>
    <t>https://dwuconsulting.com/airports/IAH</t>
  </si>
  <si>
    <t>MCO</t>
  </si>
  <si>
    <t>Orlando International</t>
  </si>
  <si>
    <t>Orlando</t>
  </si>
  <si>
    <t>https://dwuconsulting.com/airports/MCO</t>
  </si>
  <si>
    <t>DTW</t>
  </si>
  <si>
    <t>Detroit Metro Wayne County</t>
  </si>
  <si>
    <t>Detroit</t>
  </si>
  <si>
    <t>MI</t>
  </si>
  <si>
    <t>https://dwuconsulting.com/airports/DTW</t>
  </si>
  <si>
    <t>BOS</t>
  </si>
  <si>
    <t>General Edward Lawrence Logan International</t>
  </si>
  <si>
    <t>Boston</t>
  </si>
  <si>
    <t>MA</t>
  </si>
  <si>
    <t>https://dwuconsulting.com/airports/BOS</t>
  </si>
  <si>
    <t>FLL</t>
  </si>
  <si>
    <t>Fort Lauderdale/Hollywood International</t>
  </si>
  <si>
    <t>Fort Lauderdale</t>
  </si>
  <si>
    <t>https://dwuconsulting.com/airports/FLL</t>
  </si>
  <si>
    <t>PHL</t>
  </si>
  <si>
    <t>Philadelphia International</t>
  </si>
  <si>
    <t>Philadelphia</t>
  </si>
  <si>
    <t>PA</t>
  </si>
  <si>
    <t>https://dwuconsulting.com/airports/PHL</t>
  </si>
  <si>
    <t>MSP</t>
  </si>
  <si>
    <t>Minneapolis-St Paul International/Wold-Chamberlain</t>
  </si>
  <si>
    <t>Minneapolis</t>
  </si>
  <si>
    <t>MN</t>
  </si>
  <si>
    <t>https://dwuconsulting.com/airports/MSP</t>
  </si>
  <si>
    <t>SLC</t>
  </si>
  <si>
    <t>Salt Lake City International</t>
  </si>
  <si>
    <t>Salt Lake City</t>
  </si>
  <si>
    <t>UT</t>
  </si>
  <si>
    <t>https://dwuconsulting.com/airports/SLC</t>
  </si>
  <si>
    <t>BWI</t>
  </si>
  <si>
    <t>Baltimore/Washington International Thurgood Marshall</t>
  </si>
  <si>
    <t>Glen Burnie</t>
  </si>
  <si>
    <t>MD</t>
  </si>
  <si>
    <t>https://dwuconsulting.com/airports/BWI</t>
  </si>
  <si>
    <t>TPA</t>
  </si>
  <si>
    <t>Tampa International</t>
  </si>
  <si>
    <t>Tampa</t>
  </si>
  <si>
    <t>https://dwuconsulting.com/airports/TPA</t>
  </si>
  <si>
    <t>AUS</t>
  </si>
  <si>
    <t>Austin-Bergstrom International</t>
  </si>
  <si>
    <t>Austin</t>
  </si>
  <si>
    <t>https://dwuconsulting.com/airports/AUS</t>
  </si>
  <si>
    <t>SAN</t>
  </si>
  <si>
    <t>San Diego International</t>
  </si>
  <si>
    <t>San Diego</t>
  </si>
  <si>
    <t>https://dwuconsulting.com/airports/SAN</t>
  </si>
  <si>
    <t>BNA</t>
  </si>
  <si>
    <t>Nashville International</t>
  </si>
  <si>
    <t>Nashville</t>
  </si>
  <si>
    <t>TN</t>
  </si>
  <si>
    <t>https://dwuconsulting.com/airports/BNA</t>
  </si>
  <si>
    <t>DAL</t>
  </si>
  <si>
    <t>Dallas Love Field</t>
  </si>
  <si>
    <t>Dallas</t>
  </si>
  <si>
    <t>https://dwuconsulting.com/airports/DAL</t>
  </si>
  <si>
    <t>CLT</t>
  </si>
  <si>
    <t>Charlotte/Douglas International</t>
  </si>
  <si>
    <t>Charlotte</t>
  </si>
  <si>
    <t>NC</t>
  </si>
  <si>
    <t>https://dwuconsulting.com/airports/CLT</t>
  </si>
  <si>
    <t>Large-hub review - verified CATS subset</t>
  </si>
  <si>
    <t>Clean airport-level FAA CATS series; suitable for commercial and operating comparisons.</t>
  </si>
  <si>
    <t>JFK</t>
  </si>
  <si>
    <t>John F Kennedy International</t>
  </si>
  <si>
    <t>New York</t>
  </si>
  <si>
    <t>NY</t>
  </si>
  <si>
    <t>https://dwuconsulting.com/airports/JFK</t>
  </si>
  <si>
    <t>Airport-level CATS operating/commercial data are usable. Debt/credit metrics are system-linked and should not be benchmarked against stand-alone airports.</t>
  </si>
  <si>
    <t>EWR</t>
  </si>
  <si>
    <t>Newark Liberty International</t>
  </si>
  <si>
    <t>Newark</t>
  </si>
  <si>
    <t>NJ</t>
  </si>
  <si>
    <t>https://dwuconsulting.com/airports/EWR</t>
  </si>
  <si>
    <t>Airport-level CATS operating/commercial data are usable. Debt/credit metrics are reported at the PANYNJ system level.</t>
  </si>
  <si>
    <t>LGA</t>
  </si>
  <si>
    <t>La Guardia</t>
  </si>
  <si>
    <t>https://dwuconsulting.com/airports/LGA</t>
  </si>
  <si>
    <t>IAD</t>
  </si>
  <si>
    <t>Washington Dulles International</t>
  </si>
  <si>
    <t>Dulles</t>
  </si>
  <si>
    <t>VA</t>
  </si>
  <si>
    <t>https://dwuconsulting.com/airports/IAD</t>
  </si>
  <si>
    <t>Airport-level CATS operating/commercial data are usable. Bond/credit context is MWAA system-level; do not use debt metrics for peer ranking.</t>
  </si>
  <si>
    <t>DCA</t>
  </si>
  <si>
    <t>Ronald Reagan Washington Ntl</t>
  </si>
  <si>
    <t>Arlington</t>
  </si>
  <si>
    <t>https://dwuconsulting.com/airports/DCA</t>
  </si>
  <si>
    <t>HNL</t>
  </si>
  <si>
    <t>Daniel K Inouye International</t>
  </si>
  <si>
    <t>Honolulu</t>
  </si>
  <si>
    <t>HI</t>
  </si>
  <si>
    <t>https://dwuconsulting.com/airports/HNL</t>
  </si>
  <si>
    <t>Airport-level CATS operating/commercial data are usable. Bond credit is pooled at Hawaii Airports System level; avoid debt-based peer rankings.</t>
  </si>
  <si>
    <t>MDW</t>
  </si>
  <si>
    <t>Chicago Midway International</t>
  </si>
  <si>
    <t>https://dwuconsulting.com/airports/MDW</t>
  </si>
  <si>
    <t>Column_Name</t>
  </si>
  <si>
    <t>FAA_Source_Field</t>
  </si>
  <si>
    <t>Purpose / Notes</t>
  </si>
  <si>
    <t>Location ID</t>
  </si>
  <si>
    <t>Primary airport identifier / join key</t>
  </si>
  <si>
    <t>Airport Name</t>
  </si>
  <si>
    <t>Airport display name</t>
  </si>
  <si>
    <t>Airport metadata</t>
  </si>
  <si>
    <t>City used for labels and mapping</t>
  </si>
  <si>
    <t>State used for mapping and filtering</t>
  </si>
  <si>
    <t>FAA hub classification</t>
  </si>
  <si>
    <t>Large / Medium hub peer benchmarking</t>
  </si>
  <si>
    <t>Reporting / fiscal year</t>
  </si>
  <si>
    <t>2019–2024 project period</t>
  </si>
  <si>
    <t>Form 127 Line 16.1</t>
  </si>
  <si>
    <t>Fiscal-year passenger enplanements; denominator for per-passenger KPIs</t>
  </si>
  <si>
    <t>Form 127 Line 5.0</t>
  </si>
  <si>
    <t>Total airport operating revenue</t>
  </si>
  <si>
    <t>Form 127 Line 3.0</t>
  </si>
  <si>
    <t>Total aeronautical revenue</t>
  </si>
  <si>
    <t>Form 127 Line 4.9</t>
  </si>
  <si>
    <t>Total non-aeronautical / commercial revenue; major KPI</t>
  </si>
  <si>
    <t>Form 127 Line 4.2</t>
  </si>
  <si>
    <t>Food and beverage concession revenue</t>
  </si>
  <si>
    <t>Form 127 Line 4.3</t>
  </si>
  <si>
    <t>Retail / duty-free revenue</t>
  </si>
  <si>
    <t>Form 127 Line 4.5</t>
  </si>
  <si>
    <t>Rental car revenue</t>
  </si>
  <si>
    <t>Form 127 Line 4.6</t>
  </si>
  <si>
    <t>Parking and ground transportation revenue</t>
  </si>
  <si>
    <t>Form 127 Line 4.1</t>
  </si>
  <si>
    <t>Land / property lease revenue</t>
  </si>
  <si>
    <t>Form 127 Line 4.4</t>
  </si>
  <si>
    <t>Terminal services, advertising, and related revenue</t>
  </si>
  <si>
    <t>Form 127 Line 4.7</t>
  </si>
  <si>
    <t>Hotel revenue where reported</t>
  </si>
  <si>
    <t>Form 127 Line 4.8</t>
  </si>
  <si>
    <t>Other non-aeronautical / commercial revenue</t>
  </si>
  <si>
    <t>Form 127 Line 6.9</t>
  </si>
  <si>
    <t>Total operating expenses</t>
  </si>
  <si>
    <t>Form 127 Line 7.0</t>
  </si>
  <si>
    <t>Operating income / loss</t>
  </si>
  <si>
    <t>Form 127 Line 10.6</t>
  </si>
  <si>
    <t>Total capital expenditures</t>
  </si>
  <si>
    <t>Form 127 Line 11.4</t>
  </si>
  <si>
    <t>Total debt</t>
  </si>
  <si>
    <t>U.S. Airport Commercial Revenue &amp; Passenger Monetization Analytics</t>
  </si>
  <si>
    <t>Item</t>
  </si>
  <si>
    <t>Value</t>
  </si>
  <si>
    <t>Notes</t>
  </si>
  <si>
    <t>Source</t>
  </si>
  <si>
    <t>Project Period</t>
  </si>
  <si>
    <t>2019–2024</t>
  </si>
  <si>
    <t>Use final full-year data</t>
  </si>
  <si>
    <t>Initial Scope</t>
  </si>
  <si>
    <t>All large + medium U.S. hub airports</t>
  </si>
  <si>
    <t>Final 25–30 airports selected after completeness checks</t>
  </si>
  <si>
    <t>Primary Source</t>
  </si>
  <si>
    <t>FAA Form 5100-127</t>
  </si>
  <si>
    <t>Operating &amp; Financial Summary</t>
  </si>
  <si>
    <t>https://cats.airports.faa.gov/reports/form_127/</t>
  </si>
  <si>
    <t>Primary KPI</t>
  </si>
  <si>
    <t>Commercial Revenue per Passenger</t>
  </si>
  <si>
    <t>Total Commercial Revenue / Fiscal-Year Enplanements</t>
  </si>
  <si>
    <t>Core Business Question</t>
  </si>
  <si>
    <t>How effectively are major U.S. airports converting passenger traffic into commercial revenue?</t>
  </si>
  <si>
    <t>Benchmark against comparable peers and diagnose revenue-stream gaps</t>
  </si>
  <si>
    <t>Airport Master</t>
  </si>
  <si>
    <t>Source Basis</t>
  </si>
  <si>
    <t>Large Hubs</t>
  </si>
  <si>
    <t>Final CY2024 FAA classification</t>
  </si>
  <si>
    <t>https://www.faa.gov/airports/planning_capacity/passenger_allcargo_stats/passenger/arp-cy2024-commercial-service-enplanements.pdf</t>
  </si>
  <si>
    <t>Medium Hubs</t>
  </si>
  <si>
    <t>Total Candidate Airports</t>
  </si>
  <si>
    <t>Large + Medium hubs</t>
  </si>
  <si>
    <t>Pilot Extraction</t>
  </si>
  <si>
    <t>Status</t>
  </si>
  <si>
    <t>Airports tested</t>
  </si>
  <si>
    <t>Complete</t>
  </si>
  <si>
    <t>ATL, DFW, LAX, SEA, CLE</t>
  </si>
  <si>
    <t>Airport-years loaded</t>
  </si>
  <si>
    <t>2019-2024 for each airport</t>
  </si>
  <si>
    <t>Detailed FAA line backfill</t>
  </si>
  <si>
    <t>Pending</t>
  </si>
  <si>
    <t>Total aero/non-aero and land/hotel/other fields await direct FAA CATS export after maintenance.</t>
  </si>
  <si>
    <t>Data Quality Scoring</t>
  </si>
  <si>
    <t>Weight / Threshold</t>
  </si>
  <si>
    <t>Core financial coverage</t>
  </si>
  <si>
    <t>4 fields × 6 years</t>
  </si>
  <si>
    <t>60%</t>
  </si>
  <si>
    <t>Enplanements, operating revenue, operating expenses, operating income</t>
  </si>
  <si>
    <t>Commercial detail coverage</t>
  </si>
  <si>
    <t>5 fields × 6 years</t>
  </si>
  <si>
    <t>40%</t>
  </si>
  <si>
    <t>Parking, rental car, food &amp; beverage, retail, terminal service</t>
  </si>
  <si>
    <t>Excellent</t>
  </si>
  <si>
    <t>Current completeness</t>
  </si>
  <si>
    <t>&gt;=90%</t>
  </si>
  <si>
    <t>Preferred for final shortlist</t>
  </si>
  <si>
    <t>Good / Review</t>
  </si>
  <si>
    <t>70–89%</t>
  </si>
  <si>
    <t>Inspect missingness before selection</t>
  </si>
  <si>
    <t>Pending FAA fields</t>
  </si>
  <si>
    <t>Not scored yet</t>
  </si>
  <si>
    <t>Tracked separately until direct FAA CATS export is available</t>
  </si>
  <si>
    <t>Working Set Expansion</t>
  </si>
  <si>
    <t>Airports loaded</t>
  </si>
  <si>
    <t>5 pilot + 20 additional airports</t>
  </si>
  <si>
    <t>Airport-year records</t>
  </si>
  <si>
    <t>25 airports × 6 years (2019-2024)</t>
  </si>
  <si>
    <t>Current verified fields</t>
  </si>
  <si>
    <t>Core financial + commercial detail + passenger aeronautical revenue</t>
  </si>
  <si>
    <t>Pending FAA detail fields</t>
  </si>
  <si>
    <t>Total Aero, Total Commercial, Land Lease, Hotel, Other Commercial</t>
  </si>
  <si>
    <t>Remaining candidates</t>
  </si>
  <si>
    <t>Reserve</t>
  </si>
  <si>
    <t>Only extract if final quality/comparability review requires replacements</t>
  </si>
  <si>
    <t>Large Hub Review</t>
  </si>
  <si>
    <t>Missing large hubs reviewed</t>
  </si>
  <si>
    <t>CLT, JFK, EWR, LGA, IAD, DCA, HNL, MDW</t>
  </si>
  <si>
    <t>New airport-year rows</t>
  </si>
  <si>
    <t>8 airports × 6 years</t>
  </si>
  <si>
    <t>Total loaded airports</t>
  </si>
  <si>
    <t>All 31 Large Hubs + CLE and DAL as Medium-Hub comparison candidates</t>
  </si>
  <si>
    <t>Pooled-authority airports</t>
  </si>
  <si>
    <t>Flagged</t>
  </si>
  <si>
    <t>JFK, EWR, LGA, IAD, DCA, HNL</t>
  </si>
  <si>
    <t>Peer finance rule</t>
  </si>
  <si>
    <t>Commercial/operating yes</t>
  </si>
  <si>
    <t>Locked</t>
  </si>
  <si>
    <t>Do not rank pooled-authority airports on debt/credit metrics.</t>
  </si>
  <si>
    <t>Final Analysis Population</t>
  </si>
  <si>
    <t>Final airports</t>
  </si>
  <si>
    <t>All FAA Large Hub airports</t>
  </si>
  <si>
    <t>Analysis period</t>
  </si>
  <si>
    <t>6 fiscal years per airport</t>
  </si>
  <si>
    <t>Final airport-year rows</t>
  </si>
  <si>
    <t>31 Large Hubs × 6 years</t>
  </si>
  <si>
    <t>Reserve airports</t>
  </si>
  <si>
    <t>Retained</t>
  </si>
  <si>
    <t>CLE and DAL; Medium Hubs, QA / fallback only</t>
  </si>
  <si>
    <t>Debt/credit ranking</t>
  </si>
  <si>
    <t>Excluded</t>
  </si>
  <si>
    <t>Not comparable for pooled-authority airports</t>
  </si>
  <si>
    <t>Primary analysis focus</t>
  </si>
  <si>
    <t>Commercial monetization</t>
  </si>
  <si>
    <t>Passengers, operating revenue, commercial categories, expenses, operating income</t>
  </si>
  <si>
    <t>Data Cleaning</t>
  </si>
  <si>
    <t>Final cleaned population</t>
  </si>
  <si>
    <t>31 Large Hubs</t>
  </si>
  <si>
    <t>CLE and DAL excluded from analysis table</t>
  </si>
  <si>
    <t>Clean airport-year rows</t>
  </si>
  <si>
    <t>Core missing rows</t>
  </si>
  <si>
    <t>Pass</t>
  </si>
  <si>
    <t>No imputation needed for core fields</t>
  </si>
  <si>
    <t>Flagged commercial-detail rows</t>
  </si>
  <si>
    <t>Review</t>
  </si>
  <si>
    <t>5 PHX zero rows + 3 MSP negative rows</t>
  </si>
  <si>
    <t>Negative operating-income rows</t>
  </si>
  <si>
    <t>Preserved</t>
  </si>
  <si>
    <t>Valid reported values, not treated as errors</t>
  </si>
  <si>
    <t>Direct FAA backfill</t>
  </si>
  <si>
    <t>5 fields</t>
  </si>
  <si>
    <t>Tracked explicitly; no values invented</t>
  </si>
  <si>
    <t>FAA_Region_Code</t>
  </si>
  <si>
    <t>FAA_Region</t>
  </si>
  <si>
    <t>CY2024_Enplanements</t>
  </si>
  <si>
    <t>CY2023_Enplanements</t>
  </si>
  <si>
    <t>YoY_Change</t>
  </si>
  <si>
    <t>CY2024_Rank</t>
  </si>
  <si>
    <t>SO</t>
  </si>
  <si>
    <t>Southern</t>
  </si>
  <si>
    <t>SW</t>
  </si>
  <si>
    <t>Southwest</t>
  </si>
  <si>
    <t>NM</t>
  </si>
  <si>
    <t>Northwest Mountain</t>
  </si>
  <si>
    <t>GL</t>
  </si>
  <si>
    <t>Great Lakes</t>
  </si>
  <si>
    <t>WP</t>
  </si>
  <si>
    <t>Western-Pacific</t>
  </si>
  <si>
    <t>EA</t>
  </si>
  <si>
    <t>Eastern</t>
  </si>
  <si>
    <t>NE</t>
  </si>
  <si>
    <t>New England</t>
  </si>
  <si>
    <t>Laguardia</t>
  </si>
  <si>
    <t>PDX</t>
  </si>
  <si>
    <t>Portland International</t>
  </si>
  <si>
    <t>Portland</t>
  </si>
  <si>
    <t>OR</t>
  </si>
  <si>
    <t>STL</t>
  </si>
  <si>
    <t>St Louis Lambert International</t>
  </si>
  <si>
    <t>St. Louis</t>
  </si>
  <si>
    <t>MO</t>
  </si>
  <si>
    <t>CE</t>
  </si>
  <si>
    <t>Central</t>
  </si>
  <si>
    <t>RDU</t>
  </si>
  <si>
    <t>Raleigh-Durham International</t>
  </si>
  <si>
    <t>Raleigh</t>
  </si>
  <si>
    <t>HOU</t>
  </si>
  <si>
    <t>William P Hobby</t>
  </si>
  <si>
    <t>SMF</t>
  </si>
  <si>
    <t>Sacramento International</t>
  </si>
  <si>
    <t>Sacramento</t>
  </si>
  <si>
    <t>MSY</t>
  </si>
  <si>
    <t>Louis Armstrong New Orleans International</t>
  </si>
  <si>
    <t>Kenner</t>
  </si>
  <si>
    <t>LA</t>
  </si>
  <si>
    <t>SJU</t>
  </si>
  <si>
    <t>Luis Munoz Marin International</t>
  </si>
  <si>
    <t>San Juan</t>
  </si>
  <si>
    <t>PR</t>
  </si>
  <si>
    <t>MCI</t>
  </si>
  <si>
    <t>Kansas City International</t>
  </si>
  <si>
    <t>Kansas City</t>
  </si>
  <si>
    <t>SJC</t>
  </si>
  <si>
    <t>Norman Y Mineta San Jose International</t>
  </si>
  <si>
    <t>San Jose</t>
  </si>
  <si>
    <t>SAT</t>
  </si>
  <si>
    <t>San Antonio International</t>
  </si>
  <si>
    <t>San Antonio</t>
  </si>
  <si>
    <t>RSW</t>
  </si>
  <si>
    <t>Southwest Florida International</t>
  </si>
  <si>
    <t>Fort Myers</t>
  </si>
  <si>
    <t>SNA</t>
  </si>
  <si>
    <t>John Wayne/Orange County</t>
  </si>
  <si>
    <t>Santa Ana</t>
  </si>
  <si>
    <t>OAK</t>
  </si>
  <si>
    <t>Oakland San Francisco Bay</t>
  </si>
  <si>
    <t>Oakland</t>
  </si>
  <si>
    <t>IND</t>
  </si>
  <si>
    <t>Indianapolis International</t>
  </si>
  <si>
    <t>Indianapolis</t>
  </si>
  <si>
    <t>IN</t>
  </si>
  <si>
    <t>PIT</t>
  </si>
  <si>
    <t>Pittsburgh International</t>
  </si>
  <si>
    <t>Pittsburgh</t>
  </si>
  <si>
    <t>CVG</t>
  </si>
  <si>
    <t>Cincinnati/Northern Kentucky International</t>
  </si>
  <si>
    <t>Hebron</t>
  </si>
  <si>
    <t>KY</t>
  </si>
  <si>
    <t>CMH</t>
  </si>
  <si>
    <t>John Glenn Columbus International</t>
  </si>
  <si>
    <t>Columbus</t>
  </si>
  <si>
    <t>PBI</t>
  </si>
  <si>
    <t>Palm Beach International</t>
  </si>
  <si>
    <t>West Palm Beach</t>
  </si>
  <si>
    <t>JAX</t>
  </si>
  <si>
    <t>Jacksonville International</t>
  </si>
  <si>
    <t>Jacksonville</t>
  </si>
  <si>
    <t>ONT</t>
  </si>
  <si>
    <t>Ontario International</t>
  </si>
  <si>
    <t>Ontario</t>
  </si>
  <si>
    <t>OGG</t>
  </si>
  <si>
    <t>Kahului</t>
  </si>
  <si>
    <t>BUR</t>
  </si>
  <si>
    <t>Bob Hope</t>
  </si>
  <si>
    <t>Burbank</t>
  </si>
  <si>
    <t>BDL</t>
  </si>
  <si>
    <t>Bradley International</t>
  </si>
  <si>
    <t>Windsor Locks</t>
  </si>
  <si>
    <t>CT</t>
  </si>
  <si>
    <t>CHS</t>
  </si>
  <si>
    <t>Charleston AFB/International</t>
  </si>
  <si>
    <t>Charleston</t>
  </si>
  <si>
    <t>SC</t>
  </si>
  <si>
    <t>MKE</t>
  </si>
  <si>
    <t>General Mitchell International</t>
  </si>
  <si>
    <t>Milwaukee</t>
  </si>
  <si>
    <t>WI</t>
  </si>
  <si>
    <t>ANC</t>
  </si>
  <si>
    <t>Ted Stevens Anchorage International</t>
  </si>
  <si>
    <t>Anchorage</t>
  </si>
  <si>
    <t>AK</t>
  </si>
  <si>
    <t>AL</t>
  </si>
  <si>
    <t>Alaskan</t>
  </si>
  <si>
    <t>ABQ</t>
  </si>
  <si>
    <t>Albuquerque International Sunport</t>
  </si>
  <si>
    <t>Albuquerque</t>
  </si>
  <si>
    <t>OMA</t>
  </si>
  <si>
    <t>Eppley Airfield</t>
  </si>
  <si>
    <t>Omaha</t>
  </si>
  <si>
    <t>BUF</t>
  </si>
  <si>
    <t>Buffalo Niagara International</t>
  </si>
  <si>
    <t>Buffalo</t>
  </si>
  <si>
    <t>BOI</t>
  </si>
  <si>
    <t>Boise Air Trml/Gowen Field</t>
  </si>
  <si>
    <t>Boise</t>
  </si>
  <si>
    <t>ID</t>
  </si>
  <si>
    <t>Years_Loaded</t>
  </si>
  <si>
    <t>Parking</t>
  </si>
  <si>
    <t>Rental_Car</t>
  </si>
  <si>
    <t>Food_Beverage</t>
  </si>
  <si>
    <t>Retail</t>
  </si>
  <si>
    <t>Terminal_Service</t>
  </si>
  <si>
    <t>Passenger_Aero</t>
  </si>
  <si>
    <t>Total_Aero</t>
  </si>
  <si>
    <t>Total_Commercial</t>
  </si>
  <si>
    <t>Land_Lease</t>
  </si>
  <si>
    <t>Hotel</t>
  </si>
  <si>
    <t>Other_Commercial</t>
  </si>
  <si>
    <t>Pilot_Result</t>
  </si>
  <si>
    <t>Next_Action</t>
  </si>
  <si>
    <t>2019-2024</t>
  </si>
  <si>
    <t>Pending direct FAA</t>
  </si>
  <si>
    <t>PASS - core trend fields verified</t>
  </si>
  <si>
    <t>Backfill detailed Form 127 revenue lines after FAA CATS maintenance; then run full 63-airport completeness test.</t>
  </si>
  <si>
    <t>Airport Data Quality &amp; Completeness Scorecard</t>
  </si>
  <si>
    <t>Purpose: select airports with reliable 2019–2024 data. Zeros count as reported values; blanks count as missing. Pending FAA Form 127 fields are tracked separately and do not reduce the current completeness score.</t>
  </si>
  <si>
    <t>Candidate Airports</t>
  </si>
  <si>
    <t>Loaded Airports</t>
  </si>
  <si>
    <t>6-Year Coverage</t>
  </si>
  <si>
    <t>Excellent (&gt;=90%)</t>
  </si>
  <si>
    <t>Good (80-89%)</t>
  </si>
  <si>
    <t>Review (70-79%)</t>
  </si>
  <si>
    <t>Exclude (&lt;70%)</t>
  </si>
  <si>
    <t>FAA Backfill Pending</t>
  </si>
  <si>
    <t>Scoring Component</t>
  </si>
  <si>
    <t>Fields</t>
  </si>
  <si>
    <t>Weight</t>
  </si>
  <si>
    <t>Rule</t>
  </si>
  <si>
    <t>Interpretation</t>
  </si>
  <si>
    <t>Enplanements, Operating Revenue, Operating Expenses, Operating Income</t>
  </si>
  <si>
    <t>Nonblank years / 24 expected cells</t>
  </si>
  <si>
    <t>Required for reliable trend and financial analysis</t>
  </si>
  <si>
    <t>Parking, Rental Car, Food &amp; Beverage, Retail, Terminal Service</t>
  </si>
  <si>
    <t>Nonblank years / 30 expected cells</t>
  </si>
  <si>
    <t>Required for passenger-monetization diagnosis</t>
  </si>
  <si>
    <t>Pending FAA backfill</t>
  </si>
  <si>
    <t>Tracked separately; not scored yet</t>
  </si>
  <si>
    <t>Will be added after direct FAA CATS export is available</t>
  </si>
  <si>
    <t>Year_Coverage_%</t>
  </si>
  <si>
    <t>Enplanements_Yrs</t>
  </si>
  <si>
    <t>Operating_Revenue_Yrs</t>
  </si>
  <si>
    <t>Operating_Expenses_Yrs</t>
  </si>
  <si>
    <t>Operating_Income_Yrs</t>
  </si>
  <si>
    <t>Parking_Yrs</t>
  </si>
  <si>
    <t>Rental_Car_Yrs</t>
  </si>
  <si>
    <t>Food_Beverage_Yrs</t>
  </si>
  <si>
    <t>Retail_Yrs</t>
  </si>
  <si>
    <t>Terminal_Service_Yrs</t>
  </si>
  <si>
    <t>Core_Coverage_%</t>
  </si>
  <si>
    <t>Commercial_Detail_%</t>
  </si>
  <si>
    <t>Zero_Value_Flag_Count</t>
  </si>
  <si>
    <t>Current_Completeness_%</t>
  </si>
  <si>
    <t>Pending_FAA_Coverage_%</t>
  </si>
  <si>
    <t>Selection_Status</t>
  </si>
  <si>
    <t>Threshold</t>
  </si>
  <si>
    <t>Score Range</t>
  </si>
  <si>
    <t>Meaning</t>
  </si>
  <si>
    <t>Action</t>
  </si>
  <si>
    <t>Pending FAA Rule</t>
  </si>
  <si>
    <t>Zero Rule</t>
  </si>
  <si>
    <t>90–100%</t>
  </si>
  <si>
    <t>Strong current data coverage</t>
  </si>
  <si>
    <t>Keep for final shortlist</t>
  </si>
  <si>
    <t>Backfill still required before final KPI build</t>
  </si>
  <si>
    <t>Zero is present, not missing</t>
  </si>
  <si>
    <t>Good</t>
  </si>
  <si>
    <t>80–89%</t>
  </si>
  <si>
    <t>Minor missingness</t>
  </si>
  <si>
    <t>Review field gaps</t>
  </si>
  <si>
    <t>Backfill still required</t>
  </si>
  <si>
    <t>Review repeated zeros</t>
  </si>
  <si>
    <t>Manual Review</t>
  </si>
  <si>
    <t>70–79%</t>
  </si>
  <si>
    <t>Material missingness</t>
  </si>
  <si>
    <t>Inspect manually before keeping</t>
  </si>
  <si>
    <t>Check reporting structure</t>
  </si>
  <si>
    <t>Exclude</t>
  </si>
  <si>
    <t>&lt;70%</t>
  </si>
  <si>
    <t>Insufficient current coverage</t>
  </si>
  <si>
    <t>Remove unless strategically essential</t>
  </si>
  <si>
    <t>Do not rely on incomplete total commercial fields</t>
  </si>
  <si>
    <t>N/A</t>
  </si>
  <si>
    <t>Zero_Flags</t>
  </si>
  <si>
    <t>FAA_Backfill_%</t>
  </si>
  <si>
    <t>Large Hub Comparability Review</t>
  </si>
  <si>
    <t>Commercial/operating comparisons use airport-level FAA CATS data. For pooled-authority airports, system-level bond/debt metrics are not used for peer ranking.</t>
  </si>
  <si>
    <t>Operator / Authority</t>
  </si>
  <si>
    <t>2019-2024_Data</t>
  </si>
  <si>
    <t>Commercial_KPIs</t>
  </si>
  <si>
    <t>Operating_KPIs</t>
  </si>
  <si>
    <t>Debt_KPIs</t>
  </si>
  <si>
    <t>Recommendation</t>
  </si>
  <si>
    <t>Reason</t>
  </si>
  <si>
    <t>City of Charlotte</t>
  </si>
  <si>
    <t>Complete: 2019-2024</t>
  </si>
  <si>
    <t>Use</t>
  </si>
  <si>
    <t>Usable with normal caution</t>
  </si>
  <si>
    <t>Include</t>
  </si>
  <si>
    <t>Port Authority of New York and New Jersey</t>
  </si>
  <si>
    <t>Do not use for peer ranking</t>
  </si>
  <si>
    <t>Include with finance caveat</t>
  </si>
  <si>
    <t>Metropolitan Washington Airports Authority</t>
  </si>
  <si>
    <t>Hawaii Airports System</t>
  </si>
  <si>
    <t>City of Chicago Department of Aviation</t>
  </si>
  <si>
    <t>Comparability_Note</t>
  </si>
  <si>
    <t>Previously loaded airport; standard airport-level comparability review still applies.</t>
  </si>
  <si>
    <t>Final Airport Analysis Population</t>
  </si>
  <si>
    <t>Final scope: all 31 FAA Large Hub airports, 2019–2024. CLE and DAL are retained only as Medium-Hub reserve/QA airports. Commercial and operating metrics are compared at airport level; pooled-authority debt/credit metrics are excluded from peer ranking.</t>
  </si>
  <si>
    <t>Final Included</t>
  </si>
  <si>
    <t>Reserve / QA</t>
  </si>
  <si>
    <t>Analysis Years</t>
  </si>
  <si>
    <t>Final Airport-Years</t>
  </si>
  <si>
    <t>Selection Rule</t>
  </si>
  <si>
    <t>Final_Selection</t>
  </si>
  <si>
    <t>2024_Rank</t>
  </si>
  <si>
    <t>Finance_Caveat</t>
  </si>
  <si>
    <t>Category_Data_Caveat</t>
  </si>
  <si>
    <t>Final_Use</t>
  </si>
  <si>
    <t>Standard airport-level finance comparability</t>
  </si>
  <si>
    <t>No known category-specific caveat beyond normal FAA reporting differences</t>
  </si>
  <si>
    <t>Terminal-service revenue has repeated reported zeros; keep airport, but review this category separately</t>
  </si>
  <si>
    <t>PANYNJ system-level debt/credit; exclude debt metrics from peer ranking</t>
  </si>
  <si>
    <t>MWAA system-level bond/credit context; exclude debt metrics from peer ranking</t>
  </si>
  <si>
    <t>Hawaii Airports System pooled bond/credit; exclude debt metrics from peer ranking</t>
  </si>
  <si>
    <t>Selection Principle</t>
  </si>
  <si>
    <t>Decision</t>
  </si>
  <si>
    <t>Why</t>
  </si>
  <si>
    <t>Impact</t>
  </si>
  <si>
    <t>Population</t>
  </si>
  <si>
    <t>Use all 31 FAA Large Hubs</t>
  </si>
  <si>
    <t>Avoids arbitrary cherry-picking and gives a complete peer universe</t>
  </si>
  <si>
    <t>Primary dashboard population</t>
  </si>
  <si>
    <t>Medium hubs</t>
  </si>
  <si>
    <t>Exclude CLE and DAL from final dashboard</t>
  </si>
  <si>
    <t>Different FAA hub class; not directly comparable to Large Hubs</t>
  </si>
  <si>
    <t>Retained only for QA / fallback</t>
  </si>
  <si>
    <t>Debt metrics</t>
  </si>
  <si>
    <t>Do not use in peer ranking</t>
  </si>
  <si>
    <t>Several airports belong to pooled authorities with system-level debt/credit structures</t>
  </si>
  <si>
    <t>Focus project on revenue, passengers, expenses, operating income, and commercial categories</t>
  </si>
  <si>
    <t>Commercial categories</t>
  </si>
  <si>
    <t>Keep PHX but flag terminal-service zeros</t>
  </si>
  <si>
    <t>Reported zero is not the same as missing; category reporting can differ</t>
  </si>
  <si>
    <t>Use category-level results with caveat, not as automatic exclusion</t>
  </si>
  <si>
    <t>Record_Key</t>
  </si>
  <si>
    <t>Known_Commercial_Component_Sum</t>
  </si>
  <si>
    <t>Known_Component_Share_of_Op_Revenue</t>
  </si>
  <si>
    <t>Missing_Core_Flag</t>
  </si>
  <si>
    <t>Zero_Commercial_Detail_Flag</t>
  </si>
  <si>
    <t>Negative_Commercial_Detail_Flag</t>
  </si>
  <si>
    <t>Negative_Operating_Income_Flag</t>
  </si>
  <si>
    <t>Duplicate_Key_Flag</t>
  </si>
  <si>
    <t>Debt_Comparable_Flag</t>
  </si>
  <si>
    <t>FAA_Backfill_Pending</t>
  </si>
  <si>
    <t>Row_Quality_Status</t>
  </si>
  <si>
    <t>Yes</t>
  </si>
  <si>
    <t>No</t>
  </si>
  <si>
    <t>Data Cleaning &amp; Validation Audit</t>
  </si>
  <si>
    <t>Audit Metric</t>
  </si>
  <si>
    <t>Result</t>
  </si>
  <si>
    <t>Raw airport-year rows</t>
  </si>
  <si>
    <t>Info</t>
  </si>
  <si>
    <t>33 loaded airports × 6 years</t>
  </si>
  <si>
    <t>Final cleaned rows</t>
  </si>
  <si>
    <t>Reserve rows excluded</t>
  </si>
  <si>
    <t>CLE and DAL excluded from final analysis</t>
  </si>
  <si>
    <t>Duplicate airport-year keys</t>
  </si>
  <si>
    <t>One row per airport-year</t>
  </si>
  <si>
    <t>Rows missing core fields</t>
  </si>
  <si>
    <t>Enplanements, operating revenue, expenses and operating income are complete</t>
  </si>
  <si>
    <t>Rows with zero commercial-detail value</t>
  </si>
  <si>
    <t>PHX terminal-service revenue is reported as zero for 2020–2024; preserved and flagged</t>
  </si>
  <si>
    <t>Rows with negative commercial-detail value</t>
  </si>
  <si>
    <t>MSP terminal-service revenue is negative for 2022–2024; preserved and flagged</t>
  </si>
  <si>
    <t>Rows with negative operating income</t>
  </si>
  <si>
    <t>Expected</t>
  </si>
  <si>
    <t>Negative operating income is a valid reported outcome and is not treated as a data error</t>
  </si>
  <si>
    <t>Rows with missing debt</t>
  </si>
  <si>
    <t>Mostly PANYNJ airport records; debt is not used for pooled-authority peer ranking</t>
  </si>
  <si>
    <t>Rows pending direct FAA backfill</t>
  </si>
  <si>
    <t>Five detailed Form 127 fields remain intentionally blank until direct FAA export is available</t>
  </si>
  <si>
    <t>Cleaning Step</t>
  </si>
  <si>
    <t>Rationale</t>
  </si>
  <si>
    <t>Population filter</t>
  </si>
  <si>
    <t>Kept only airports marked Final_Selection = Yes</t>
  </si>
  <si>
    <t>Use a consistent FAA Large-Hub peer universe</t>
  </si>
  <si>
    <t>31 airports retained</t>
  </si>
  <si>
    <t>Time filter</t>
  </si>
  <si>
    <t>Kept 2019–2024</t>
  </si>
  <si>
    <t>Matches locked project scope</t>
  </si>
  <si>
    <t>6 annual observations per airport</t>
  </si>
  <si>
    <t>Name standardization</t>
  </si>
  <si>
    <t>Airport names aligned to Final_Airport_Set</t>
  </si>
  <si>
    <t>Avoid naming inconsistencies across sheets</t>
  </si>
  <si>
    <t>Standardized airport labels</t>
  </si>
  <si>
    <t>Null handling</t>
  </si>
  <si>
    <t>Did not impute missing FAA backfill fields</t>
  </si>
  <si>
    <t>Avoid invented financial values</t>
  </si>
  <si>
    <t>Pending fields remain blank and are flagged</t>
  </si>
  <si>
    <t>Zero handling</t>
  </si>
  <si>
    <t>Preserved reported zeros</t>
  </si>
  <si>
    <t>Zero can be a valid reported value</t>
  </si>
  <si>
    <t>PHX zeros retained and flagged</t>
  </si>
  <si>
    <t>Negative handling</t>
  </si>
  <si>
    <t>Preserved negative values</t>
  </si>
  <si>
    <t>Negative income/adjustments can be economically valid</t>
  </si>
  <si>
    <t>No values overwritten</t>
  </si>
  <si>
    <t>Debt comparability</t>
  </si>
  <si>
    <t>Flagged pooled-authority airports as non-comparable for debt ranking</t>
  </si>
  <si>
    <t>System-level debt is not comparable with stand-alone airport debt</t>
  </si>
  <si>
    <t>Debt excluded from peer-ranking logic for flagged airports</t>
  </si>
  <si>
    <t>Raw data preservation</t>
  </si>
  <si>
    <t>Created a separate clean table</t>
  </si>
  <si>
    <t>Maintain auditability and source traceability</t>
  </si>
  <si>
    <t>Form127_Raw unchanged</t>
  </si>
  <si>
    <t>Airport</t>
  </si>
  <si>
    <t>Year(s)</t>
  </si>
  <si>
    <t>Field</t>
  </si>
  <si>
    <t>Issue</t>
  </si>
  <si>
    <t>Treatment</t>
  </si>
  <si>
    <t>2020–2024</t>
  </si>
  <si>
    <t>Reported zero values</t>
  </si>
  <si>
    <t>Preserved; Zero_Commercial_Detail_Flag = Yes</t>
  </si>
  <si>
    <t>2022–2024</t>
  </si>
  <si>
    <t>Reported negative values</t>
  </si>
  <si>
    <t>Preserved; Negative_Commercial_Detail_Flag = Yes</t>
  </si>
  <si>
    <t>2021–2024</t>
  </si>
  <si>
    <t>Blank in available airport-level series</t>
  </si>
  <si>
    <t>Preserved blank; Debt_Comparable_Flag = No</t>
  </si>
  <si>
    <t>All 31 airports</t>
  </si>
  <si>
    <t>Total Aero / Total Commercial / Land Lease / Hotel / Other Commercial</t>
  </si>
  <si>
    <t>Direct FAA backfill pending</t>
  </si>
  <si>
    <t>Left blank; FAA_Backfill_Pending = Yes</t>
  </si>
  <si>
    <t>Cleaning principle: no reported financial value was replaced merely because it was zero, negative, or unusual. Questionable values are preserved and surfaced through flags so later SQL/Power BI analysis remains auditable.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</si>
</sst>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[Red]\-\$#,##0"/>
    <numFmt numFmtId="165" formatCode="0.0%"/>
  </numFmts>
  <fonts count="7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5"/>
      <color rgb="FFFFFFFF"/>
      <name val="Carlito"/>
    </font>
    <font>
      <i/>
      <sz val="11"/>
      <color rgb="FF1F1F1F"/>
      <name val="Carlito"/>
    </font>
    <font>
      <b/>
      <sz val="12"/>
      <name val="Carlito"/>
    </font>
    <font>
      <i/>
      <sz val="11"/>
      <name val="Carlito"/>
    </font>
  </fonts>
  <fills count="2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AF2F8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AF2F8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EAF2F8"/>
      </patternFill>
    </fill>
  </fills>
  <borders count="7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/>
    </xf>
    <xf numFmtId="1" fontId="0" fillId="0" borderId="0" xfId="0" applyNumberFormat="1" applyFont="1" applyFill="1" applyBorder="1" applyAlignment="1">
      <alignment vertical="center"/>
    </xf>
    <xf numFmtId="3" fontId="0" fillId="0" borderId="0" xfId="0" applyNumberFormat="1" applyFont="1" applyFill="1" applyBorder="1" applyAlignment="1">
      <alignment vertical="center"/>
    </xf>
    <xf numFmtId="164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wrapText="1"/>
    </xf>
    <xf numFmtId="0" fontId="1" fillId="3" borderId="0" xfId="0" applyNumberFormat="1" applyFont="1" applyFill="1" applyBorder="1" applyAlignment="1">
      <alignment horizontal="center" wrapText="1"/>
    </xf>
    <xf numFmtId="0" fontId="1" fillId="3" borderId="0" xfId="0" applyNumberFormat="1" applyFont="1" applyFill="1" applyBorder="1" applyAlignment="1">
      <alignment horizontal="center" vertical="center" wrapText="1"/>
    </xf>
    <xf numFmtId="3" fontId="0" fillId="0" borderId="0" xfId="0" applyNumberFormat="1" applyFont="1" applyFill="1" applyBorder="1" applyAlignment="1">
      <alignment wrapText="1"/>
    </xf>
    <xf numFmtId="10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 applyAlignment="1">
      <alignment wrapText="1"/>
    </xf>
    <xf numFmtId="0" fontId="1" fillId="4" borderId="0" xfId="0" applyNumberFormat="1" applyFont="1" applyFill="1" applyBorder="1" applyAlignment="1">
      <alignment horizontal="center" vertical="center" wrapText="1"/>
    </xf>
    <xf numFmtId="0" fontId="1" fillId="4" borderId="0" xfId="0" applyNumberFormat="1" applyFont="1" applyFill="1" applyBorder="1" applyAlignment="1">
      <alignment horizontal="center" wrapText="1"/>
    </xf>
    <xf numFmtId="0" fontId="0" fillId="0" borderId="0" xfId="0" applyNumberFormat="1" applyFont="1" applyFill="1" applyBorder="1" applyAlignment="1">
      <alignment vertical="center" wrapText="1"/>
    </xf>
    <xf numFmtId="1" fontId="0" fillId="0" borderId="0" xfId="0" applyNumberFormat="1" applyFont="1" applyFill="1" applyBorder="1" applyAlignment="1">
      <alignment vertical="center" wrapText="1"/>
    </xf>
    <xf numFmtId="3" fontId="0" fillId="0" borderId="0" xfId="0" applyNumberFormat="1" applyFont="1" applyFill="1" applyBorder="1" applyAlignment="1">
      <alignment vertical="center" wrapText="1"/>
    </xf>
    <xf numFmtId="164" fontId="0" fillId="0" borderId="0" xfId="0" applyNumberFormat="1" applyFont="1" applyFill="1" applyBorder="1" applyAlignment="1">
      <alignment vertical="center" wrapText="1"/>
    </xf>
    <xf numFmtId="164" fontId="0" fillId="0" borderId="0" xfId="0" applyNumberFormat="1" applyFont="1" applyFill="1" applyBorder="1" applyAlignment="1">
      <alignment wrapText="1"/>
    </xf>
    <xf numFmtId="0" fontId="1" fillId="7" borderId="1" xfId="0" applyNumberFormat="1" applyFont="1" applyFill="1" applyBorder="1" applyAlignment="1">
      <alignment horizontal="center" vertical="center" wrapText="1"/>
    </xf>
    <xf numFmtId="0" fontId="1" fillId="7" borderId="2" xfId="0" applyNumberFormat="1" applyFont="1" applyFill="1" applyBorder="1" applyAlignment="1">
      <alignment horizontal="center" vertical="center" wrapText="1"/>
    </xf>
    <xf numFmtId="0" fontId="1" fillId="7" borderId="3" xfId="0" applyNumberFormat="1" applyFont="1" applyFill="1" applyBorder="1" applyAlignment="1">
      <alignment horizontal="center" vertical="center" wrapText="1"/>
    </xf>
    <xf numFmtId="0" fontId="1" fillId="9" borderId="0" xfId="0" applyNumberFormat="1" applyFont="1" applyFill="1" applyBorder="1" applyAlignment="1">
      <alignment horizontal="center" wrapText="1"/>
    </xf>
    <xf numFmtId="9" fontId="0" fillId="0" borderId="0" xfId="0" applyNumberFormat="1" applyFont="1" applyFill="1" applyBorder="1" applyAlignment="1">
      <alignment wrapText="1"/>
    </xf>
    <xf numFmtId="0" fontId="1" fillId="5" borderId="0" xfId="0" applyNumberFormat="1" applyFont="1" applyFill="1" applyBorder="1" applyAlignment="1">
      <alignment horizontal="center" wrapText="1"/>
    </xf>
    <xf numFmtId="0" fontId="1" fillId="5" borderId="0" xfId="0" applyNumberFormat="1" applyFont="1" applyFill="1" applyBorder="1" applyAlignment="1">
      <alignment horizontal="center" vertical="center" wrapText="1"/>
    </xf>
    <xf numFmtId="0" fontId="5" fillId="8" borderId="4" xfId="0" applyNumberFormat="1" applyFont="1" applyFill="1" applyBorder="1" applyAlignment="1">
      <alignment horizontal="center" wrapText="1"/>
    </xf>
    <xf numFmtId="0" fontId="5" fillId="8" borderId="5" xfId="0" applyNumberFormat="1" applyFont="1" applyFill="1" applyBorder="1" applyAlignment="1">
      <alignment horizontal="center" wrapText="1"/>
    </xf>
    <xf numFmtId="0" fontId="5" fillId="8" borderId="6" xfId="0" applyNumberFormat="1" applyFont="1" applyFill="1" applyBorder="1" applyAlignment="1">
      <alignment horizontal="center" wrapText="1"/>
    </xf>
    <xf numFmtId="9" fontId="0" fillId="0" borderId="0" xfId="0" applyNumberFormat="1" applyFont="1" applyFill="1" applyBorder="1" applyAlignment="1">
      <alignment vertical="center" wrapText="1"/>
    </xf>
    <xf numFmtId="0" fontId="1" fillId="10" borderId="0" xfId="0" applyNumberFormat="1" applyFont="1" applyFill="1" applyBorder="1" applyAlignment="1">
      <alignment horizontal="center" wrapText="1"/>
    </xf>
    <xf numFmtId="0" fontId="1" fillId="13" borderId="0" xfId="0" applyNumberFormat="1" applyFont="1" applyFill="1" applyBorder="1" applyAlignment="1">
      <alignment horizontal="center" wrapText="1"/>
    </xf>
    <xf numFmtId="0" fontId="1" fillId="11" borderId="0" xfId="0" applyNumberFormat="1" applyFont="1" applyFill="1" applyBorder="1" applyAlignment="1">
      <alignment horizontal="center" wrapText="1"/>
    </xf>
    <xf numFmtId="0" fontId="1" fillId="16" borderId="0" xfId="0" applyNumberFormat="1" applyFont="1" applyFill="1" applyBorder="1" applyAlignment="1">
      <alignment horizontal="center" wrapText="1"/>
    </xf>
    <xf numFmtId="0" fontId="5" fillId="17" borderId="0" xfId="0" applyNumberFormat="1" applyFont="1" applyFill="1" applyBorder="1" applyAlignment="1">
      <alignment horizontal="center"/>
    </xf>
    <xf numFmtId="0" fontId="1" fillId="14" borderId="0" xfId="0" applyNumberFormat="1" applyFont="1" applyFill="1" applyBorder="1" applyAlignment="1">
      <alignment horizontal="center" wrapText="1"/>
    </xf>
    <xf numFmtId="0" fontId="1" fillId="14" borderId="0" xfId="0" applyNumberFormat="1" applyFont="1" applyFill="1" applyBorder="1" applyAlignment="1">
      <alignment horizontal="center" vertical="center" wrapText="1"/>
    </xf>
    <xf numFmtId="0" fontId="1" fillId="18" borderId="0" xfId="0" applyNumberFormat="1" applyFont="1" applyFill="1" applyBorder="1" applyAlignment="1">
      <alignment horizontal="center" wrapText="1"/>
    </xf>
    <xf numFmtId="0" fontId="1" fillId="19" borderId="0" xfId="0" applyNumberFormat="1" applyFont="1" applyFill="1" applyBorder="1" applyAlignment="1">
      <alignment horizontal="center" wrapText="1"/>
    </xf>
    <xf numFmtId="0" fontId="1" fillId="19" borderId="0" xfId="0" applyNumberFormat="1" applyFont="1" applyFill="1" applyBorder="1" applyAlignment="1">
      <alignment horizontal="center" vertical="center" wrapText="1"/>
    </xf>
    <xf numFmtId="0" fontId="1" fillId="20" borderId="0" xfId="0" applyNumberFormat="1" applyFont="1" applyFill="1" applyBorder="1" applyAlignment="1">
      <alignment horizontal="center" vertical="center" wrapText="1"/>
    </xf>
    <xf numFmtId="164" fontId="0" fillId="20" borderId="0" xfId="0" applyNumberFormat="1" applyFont="1" applyFill="1" applyBorder="1" applyAlignment="1">
      <alignment wrapText="1"/>
    </xf>
    <xf numFmtId="165" fontId="0" fillId="0" borderId="0" xfId="0" applyNumberFormat="1" applyFont="1" applyFill="1" applyBorder="1" applyAlignment="1">
      <alignment wrapText="1"/>
    </xf>
    <xf numFmtId="0" fontId="1" fillId="21" borderId="0" xfId="0" applyNumberFormat="1" applyFont="1" applyFill="1" applyBorder="1" applyAlignment="1">
      <alignment horizontal="center" wrapText="1"/>
    </xf>
    <xf numFmtId="0" fontId="1" fillId="22" borderId="0" xfId="0" applyNumberFormat="1" applyFont="1" applyFill="1" applyBorder="1" applyAlignment="1">
      <alignment horizontal="center" wrapText="1"/>
    </xf>
    <xf numFmtId="0" fontId="1" fillId="23" borderId="0" xfId="0" applyNumberFormat="1" applyFont="1" applyFill="1" applyBorder="1" applyAlignment="1">
      <alignment horizontal="center" wrapText="1"/>
    </xf>
    <xf numFmtId="0" fontId="2" fillId="2" borderId="0" xfId="0" applyNumberFormat="1" applyFont="1" applyFill="1" applyBorder="1" applyAlignment="1">
      <alignment horizontal="center" vertical="center"/>
    </xf>
    <xf numFmtId="0" fontId="3" fillId="5" borderId="0" xfId="0" applyNumberFormat="1" applyFont="1" applyFill="1" applyBorder="1" applyAlignment="1">
      <alignment horizontal="center" vertical="center" wrapText="1"/>
    </xf>
    <xf numFmtId="0" fontId="4" fillId="6" borderId="0" xfId="0" applyNumberFormat="1" applyFont="1" applyFill="1" applyBorder="1" applyAlignment="1">
      <alignment vertical="center" wrapText="1"/>
    </xf>
    <xf numFmtId="0" fontId="3" fillId="11" borderId="0" xfId="0" applyNumberFormat="1" applyFont="1" applyFill="1" applyBorder="1" applyAlignment="1">
      <alignment horizontal="center"/>
    </xf>
    <xf numFmtId="0" fontId="6" fillId="12" borderId="0" xfId="0" applyNumberFormat="1" applyFont="1" applyFill="1" applyBorder="1" applyAlignment="1">
      <alignment wrapText="1"/>
    </xf>
    <xf numFmtId="0" fontId="3" fillId="14" borderId="0" xfId="0" applyNumberFormat="1" applyFont="1" applyFill="1" applyBorder="1" applyAlignment="1">
      <alignment horizontal="center" vertical="center"/>
    </xf>
    <xf numFmtId="0" fontId="6" fillId="15" borderId="0" xfId="0" applyNumberFormat="1" applyFont="1" applyFill="1" applyBorder="1" applyAlignment="1">
      <alignment vertical="center" wrapText="1"/>
    </xf>
    <xf numFmtId="0" fontId="3" fillId="19" borderId="0" xfId="0" applyNumberFormat="1" applyFont="1" applyFill="1" applyBorder="1" applyAlignment="1">
      <alignment horizontal="center" wrapText="1"/>
    </xf>
    <xf numFmtId="0" fontId="6" fillId="24" borderId="0" xfId="0" applyNumberFormat="1" applyFont="1" applyFill="1" applyBorder="1" applyAlignment="1">
      <alignment wrapText="1"/>
    </xf>
  </cellXfs>
  <cellStyles count="1">
    <cellStyle name="Normal" xfId="0" builtinId="0"/>
  </cellStyles>
  <dxfs count="27">
    <dxf>
      <font>
        <b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ont>
        <b/>
        <color rgb="FFC65911"/>
      </font>
      <fill>
        <patternFill patternType="solid">
          <bgColor rgb="FFFCE4D6"/>
        </patternFill>
      </fill>
    </dxf>
    <dxf>
      <font>
        <b/>
        <color rgb="FFC65911"/>
      </font>
      <fill>
        <patternFill patternType="solid">
          <bgColor rgb="FFFCE4D6"/>
        </patternFill>
      </fill>
    </dxf>
    <dxf>
      <font>
        <b/>
        <color rgb="FFC65911"/>
      </font>
      <fill>
        <patternFill patternType="solid">
          <bgColor rgb="FFFCE4D6"/>
        </patternFill>
      </fill>
    </dxf>
    <dxf>
      <font>
        <b/>
        <color rgb="FFC65911"/>
      </font>
      <fill>
        <patternFill patternType="solid">
          <bgColor rgb="FFFCE4D6"/>
        </patternFill>
      </fill>
    </dxf>
    <dxf>
      <font>
        <b/>
        <color rgb="FFC65911"/>
      </font>
      <fill>
        <patternFill patternType="solid">
          <bgColor rgb="FFFCE4D6"/>
        </patternFill>
      </fill>
    </dxf>
    <dxf>
      <font>
        <b/>
        <color rgb="FFC65911"/>
      </font>
      <fill>
        <patternFill patternType="solid"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D9EAD3"/>
        </patternFill>
      </fill>
    </dxf>
    <dxf>
      <font>
        <b/>
        <color rgb="FFC65911"/>
      </font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ont>
        <b/>
      </font>
      <fill>
        <patternFill>
          <bgColor rgb="FFD9EAD3"/>
        </patternFill>
      </fill>
    </dxf>
    <dxf>
      <font>
        <b/>
      </font>
      <fill>
        <patternFill>
          <bgColor rgb="FFC6E0B4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ont>
        <color rgb="FF008000"/>
      </font>
    </dxf>
    <dxf>
      <font>
        <color rgb="FFC00000"/>
      </font>
    </dxf>
    <dxf>
      <fill>
        <patternFill>
          <bgColor rgb="FFE2F0D9"/>
        </patternFill>
      </fill>
    </dxf>
    <dxf>
      <font>
        <b/>
      </font>
      <fill>
        <patternFill>
          <bgColor rgb="FFD9EAF7"/>
        </patternFill>
      </fill>
    </dxf>
    <dxf>
      <font>
        <b/>
      </font>
      <fill>
        <patternFill>
          <bgColor rgb="FFD9EAD3"/>
        </patternFill>
      </fill>
    </dxf>
    <dxf>
      <font>
        <b/>
      </font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127RawTable" displayName="Form127RawTable" ref="A1:V301" totalsRowShown="0">
  <tableColumns count="22">
    <tableColumn id="1" xr3:uid="{00000000-0010-0000-0000-000001000000}" name="Airport_Code"/>
    <tableColumn id="2" xr3:uid="{00000000-0010-0000-0000-000002000000}" name="Airport_Name"/>
    <tableColumn id="3" xr3:uid="{00000000-0010-0000-0000-000003000000}" name="City"/>
    <tableColumn id="4" xr3:uid="{00000000-0010-0000-0000-000004000000}" name="State"/>
    <tableColumn id="5" xr3:uid="{00000000-0010-0000-0000-000005000000}" name="Hub_Size"/>
    <tableColumn id="6" xr3:uid="{00000000-0010-0000-0000-000006000000}" name="Year"/>
    <tableColumn id="7" xr3:uid="{00000000-0010-0000-0000-000007000000}" name="Enplanements"/>
    <tableColumn id="8" xr3:uid="{00000000-0010-0000-0000-000008000000}" name="Total_Operating_Revenue"/>
    <tableColumn id="9" xr3:uid="{00000000-0010-0000-0000-000009000000}" name="Total_Aeronautical_Revenue"/>
    <tableColumn id="10" xr3:uid="{00000000-0010-0000-0000-00000A000000}" name="Total_Commercial_Revenue"/>
    <tableColumn id="11" xr3:uid="{00000000-0010-0000-0000-00000B000000}" name="Food_Beverage_Revenue"/>
    <tableColumn id="12" xr3:uid="{00000000-0010-0000-0000-00000C000000}" name="Retail_Revenue"/>
    <tableColumn id="13" xr3:uid="{00000000-0010-0000-0000-00000D000000}" name="Rental_Car_Revenue"/>
    <tableColumn id="14" xr3:uid="{00000000-0010-0000-0000-00000E000000}" name="Parking_Ground_Revenue"/>
    <tableColumn id="15" xr3:uid="{00000000-0010-0000-0000-00000F000000}" name="Land_Lease_Revenue"/>
    <tableColumn id="16" xr3:uid="{00000000-0010-0000-0000-000010000000}" name="Terminal_Service_Revenue"/>
    <tableColumn id="17" xr3:uid="{00000000-0010-0000-0000-000011000000}" name="Hotel_Revenue"/>
    <tableColumn id="18" xr3:uid="{00000000-0010-0000-0000-000012000000}" name="Other_Commercial_Revenue"/>
    <tableColumn id="19" xr3:uid="{00000000-0010-0000-0000-000013000000}" name="Operating_Expenses"/>
    <tableColumn id="20" xr3:uid="{00000000-0010-0000-0000-000014000000}" name="Operating_Income"/>
    <tableColumn id="21" xr3:uid="{00000000-0010-0000-0000-000015000000}" name="Total_Capex"/>
    <tableColumn id="22" xr3:uid="{00000000-0010-0000-0000-000016000000}" name="Total_Deb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DictionaryTable" displayName="DataDictionaryTable" ref="A1:C23" totalsRowShown="0">
  <tableColumns count="3">
    <tableColumn id="1" xr3:uid="{00000000-0010-0000-0100-000001000000}" name="Column_Name"/>
    <tableColumn id="2" xr3:uid="{00000000-0010-0000-0100-000002000000}" name="FAA_Source_Field"/>
    <tableColumn id="3" xr3:uid="{00000000-0010-0000-0100-000003000000}" name="Purpose / 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irportMasterTable" displayName="AirportMasterTable" ref="A1:L64" totalsRowShown="0">
  <tableColumns count="12">
    <tableColumn id="1" xr3:uid="{00000000-0010-0000-0200-000001000000}" name="Airport_Code"/>
    <tableColumn id="2" xr3:uid="{00000000-0010-0000-0200-000002000000}" name="Airport_Name"/>
    <tableColumn id="3" xr3:uid="{00000000-0010-0000-0200-000003000000}" name="City"/>
    <tableColumn id="4" xr3:uid="{00000000-0010-0000-0200-000004000000}" name="State"/>
    <tableColumn id="5" xr3:uid="{00000000-0010-0000-0200-000005000000}" name="Hub_Size"/>
    <tableColumn id="6" xr3:uid="{00000000-0010-0000-0200-000006000000}" name="FAA_Region_Code"/>
    <tableColumn id="7" xr3:uid="{00000000-0010-0000-0200-000007000000}" name="FAA_Region"/>
    <tableColumn id="8" xr3:uid="{00000000-0010-0000-0200-000008000000}" name="CY2024_Enplanements"/>
    <tableColumn id="9" xr3:uid="{00000000-0010-0000-0200-000009000000}" name="CY2023_Enplanements"/>
    <tableColumn id="10" xr3:uid="{00000000-0010-0000-0200-00000A000000}" name="YoY_Change"/>
    <tableColumn id="11" xr3:uid="{00000000-0010-0000-0200-00000B000000}" name="CY2024_Rank"/>
    <tableColumn id="12" xr3:uid="{00000000-0010-0000-0200-00000C000000}" name="Source_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ataQualityTable" displayName="DataQualityTable" ref="A8:T71" totalsRowShown="0">
  <tableColumns count="20">
    <tableColumn id="1" xr3:uid="{00000000-0010-0000-0300-000001000000}" name="Airport_Code"/>
    <tableColumn id="2" xr3:uid="{00000000-0010-0000-0300-000002000000}" name="Airport_Name"/>
    <tableColumn id="3" xr3:uid="{00000000-0010-0000-0300-000003000000}" name="Hub_Size"/>
    <tableColumn id="4" xr3:uid="{00000000-0010-0000-0300-000004000000}" name="Years_Loaded"/>
    <tableColumn id="5" xr3:uid="{00000000-0010-0000-0300-000005000000}" name="Year_Coverage_%"/>
    <tableColumn id="6" xr3:uid="{00000000-0010-0000-0300-000006000000}" name="Enplanements_Yrs"/>
    <tableColumn id="7" xr3:uid="{00000000-0010-0000-0300-000007000000}" name="Operating_Revenue_Yrs"/>
    <tableColumn id="8" xr3:uid="{00000000-0010-0000-0300-000008000000}" name="Operating_Expenses_Yrs"/>
    <tableColumn id="9" xr3:uid="{00000000-0010-0000-0300-000009000000}" name="Operating_Income_Yrs"/>
    <tableColumn id="10" xr3:uid="{00000000-0010-0000-0300-00000A000000}" name="Parking_Yrs"/>
    <tableColumn id="11" xr3:uid="{00000000-0010-0000-0300-00000B000000}" name="Rental_Car_Yrs"/>
    <tableColumn id="12" xr3:uid="{00000000-0010-0000-0300-00000C000000}" name="Food_Beverage_Yrs"/>
    <tableColumn id="13" xr3:uid="{00000000-0010-0000-0300-00000D000000}" name="Retail_Yrs"/>
    <tableColumn id="14" xr3:uid="{00000000-0010-0000-0300-00000E000000}" name="Terminal_Service_Yrs"/>
    <tableColumn id="15" xr3:uid="{00000000-0010-0000-0300-00000F000000}" name="Core_Coverage_%"/>
    <tableColumn id="16" xr3:uid="{00000000-0010-0000-0300-000010000000}" name="Commercial_Detail_%"/>
    <tableColumn id="17" xr3:uid="{00000000-0010-0000-0300-000011000000}" name="Zero_Value_Flag_Count"/>
    <tableColumn id="18" xr3:uid="{00000000-0010-0000-0300-000012000000}" name="Current_Completeness_%"/>
    <tableColumn id="19" xr3:uid="{00000000-0010-0000-0300-000013000000}" name="Pending_FAA_Coverage_%"/>
    <tableColumn id="20" xr3:uid="{00000000-0010-0000-0300-000014000000}" name="Selection_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WorkingSet25Table" displayName="WorkingSet25Table" ref="A1:H26" totalsRowShown="0">
  <tableColumns count="8">
    <tableColumn id="1" xr3:uid="{00000000-0010-0000-0400-000001000000}" name="Airport_Code"/>
    <tableColumn id="2" xr3:uid="{00000000-0010-0000-0400-000002000000}" name="Airport_Name"/>
    <tableColumn id="3" xr3:uid="{00000000-0010-0000-0400-000003000000}" name="Hub_Size"/>
    <tableColumn id="4" xr3:uid="{00000000-0010-0000-0400-000004000000}" name="Years_Loaded"/>
    <tableColumn id="5" xr3:uid="{00000000-0010-0000-0400-000005000000}" name="Current_Completeness_%"/>
    <tableColumn id="6" xr3:uid="{00000000-0010-0000-0400-000006000000}" name="Zero_Flags"/>
    <tableColumn id="7" xr3:uid="{00000000-0010-0000-0400-000007000000}" name="FAA_Backfill_%"/>
    <tableColumn id="8" xr3:uid="{00000000-0010-0000-0400-000008000000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irportFinancialsCleanTable" displayName="AirportFinancialsCleanTable" ref="A1:AK187" totalsRowShown="0">
  <tableColumns count="37">
    <tableColumn id="1" xr3:uid="{00000000-0010-0000-0500-000001000000}" name="Record_Key"/>
    <tableColumn id="2" xr3:uid="{00000000-0010-0000-0500-000002000000}" name="Airport_Code"/>
    <tableColumn id="3" xr3:uid="{00000000-0010-0000-0500-000003000000}" name="Airport_Name"/>
    <tableColumn id="4" xr3:uid="{00000000-0010-0000-0500-000004000000}" name="City"/>
    <tableColumn id="5" xr3:uid="{00000000-0010-0000-0500-000005000000}" name="State"/>
    <tableColumn id="6" xr3:uid="{00000000-0010-0000-0500-000006000000}" name="Hub_Size"/>
    <tableColumn id="7" xr3:uid="{00000000-0010-0000-0500-000007000000}" name="Year"/>
    <tableColumn id="8" xr3:uid="{00000000-0010-0000-0500-000008000000}" name="Enplanements"/>
    <tableColumn id="9" xr3:uid="{00000000-0010-0000-0500-000009000000}" name="Total_Operating_Revenue"/>
    <tableColumn id="10" xr3:uid="{00000000-0010-0000-0500-00000A000000}" name="Total_Aeronautical_Revenue"/>
    <tableColumn id="11" xr3:uid="{00000000-0010-0000-0500-00000B000000}" name="Total_Commercial_Revenue"/>
    <tableColumn id="12" xr3:uid="{00000000-0010-0000-0500-00000C000000}" name="Food_Beverage_Revenue"/>
    <tableColumn id="13" xr3:uid="{00000000-0010-0000-0500-00000D000000}" name="Retail_Revenue"/>
    <tableColumn id="14" xr3:uid="{00000000-0010-0000-0500-00000E000000}" name="Rental_Car_Revenue"/>
    <tableColumn id="15" xr3:uid="{00000000-0010-0000-0500-00000F000000}" name="Parking_Ground_Revenue"/>
    <tableColumn id="16" xr3:uid="{00000000-0010-0000-0500-000010000000}" name="Land_Lease_Revenue"/>
    <tableColumn id="17" xr3:uid="{00000000-0010-0000-0500-000011000000}" name="Terminal_Service_Revenue"/>
    <tableColumn id="18" xr3:uid="{00000000-0010-0000-0500-000012000000}" name="Hotel_Revenue"/>
    <tableColumn id="19" xr3:uid="{00000000-0010-0000-0500-000013000000}" name="Other_Commercial_Revenue"/>
    <tableColumn id="20" xr3:uid="{00000000-0010-0000-0500-000014000000}" name="Operating_Expenses"/>
    <tableColumn id="21" xr3:uid="{00000000-0010-0000-0500-000015000000}" name="Operating_Income"/>
    <tableColumn id="22" xr3:uid="{00000000-0010-0000-0500-000016000000}" name="Total_Capex"/>
    <tableColumn id="23" xr3:uid="{00000000-0010-0000-0500-000017000000}" name="Total_Debt"/>
    <tableColumn id="24" xr3:uid="{00000000-0010-0000-0500-000018000000}" name="Passenger_Aero_Revenue"/>
    <tableColumn id="25" xr3:uid="{00000000-0010-0000-0500-000019000000}" name="Known_Commercial_Component_Sum"/>
    <tableColumn id="26" xr3:uid="{00000000-0010-0000-0500-00001A000000}" name="Known_Component_Share_of_Op_Revenue"/>
    <tableColumn id="27" xr3:uid="{00000000-0010-0000-0500-00001B000000}" name="Missing_Core_Flag"/>
    <tableColumn id="28" xr3:uid="{00000000-0010-0000-0500-00001C000000}" name="Zero_Commercial_Detail_Flag"/>
    <tableColumn id="29" xr3:uid="{00000000-0010-0000-0500-00001D000000}" name="Negative_Commercial_Detail_Flag"/>
    <tableColumn id="30" xr3:uid="{00000000-0010-0000-0500-00001E000000}" name="Negative_Operating_Income_Flag"/>
    <tableColumn id="31" xr3:uid="{00000000-0010-0000-0500-00001F000000}" name="Duplicate_Key_Flag"/>
    <tableColumn id="32" xr3:uid="{00000000-0010-0000-0500-000020000000}" name="Debt_Comparable_Flag"/>
    <tableColumn id="33" xr3:uid="{00000000-0010-0000-0500-000021000000}" name="FAA_Backfill_Pending"/>
    <tableColumn id="34" xr3:uid="{00000000-0010-0000-0500-000022000000}" name="Row_Quality_Status"/>
    <tableColumn id="35" xr3:uid="{00000000-0010-0000-0500-000023000000}" name="Finance_Caveat"/>
    <tableColumn id="36" xr3:uid="{00000000-0010-0000-0500-000024000000}" name="Data_Source"/>
    <tableColumn id="37" xr3:uid="{00000000-0010-0000-0500-000025000000}" name="Sourc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01"/>
  <sheetViews>
    <sheetView tabSelected="1" workbookViewId="0"/>
  </sheetViews>
  <sheetFormatPr defaultRowHeight="14"/>
  <cols>
    <col min="1" max="1" width="12" customWidth="1"/>
    <col min="2" max="2" width="38" customWidth="1"/>
    <col min="3" max="3" width="16" customWidth="1"/>
    <col min="4" max="4" width="8" customWidth="1"/>
    <col min="5" max="5" width="11" customWidth="1"/>
    <col min="6" max="6" width="9" customWidth="1"/>
    <col min="7" max="7" width="16" customWidth="1"/>
    <col min="8" max="23" width="20" customWidth="1"/>
    <col min="24" max="24" width="34" customWidth="1"/>
    <col min="25" max="25" width="36" customWidth="1"/>
    <col min="26" max="26" width="22" customWidth="1"/>
    <col min="27" max="27" width="58" customWidth="1"/>
  </cols>
  <sheetData>
    <row r="1" spans="1:27" ht="22.6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</row>
    <row r="2" spans="1:27" ht="12" customHeight="1">
      <c r="A2" s="14" t="s">
        <v>27</v>
      </c>
      <c r="B2" s="14" t="s">
        <v>28</v>
      </c>
      <c r="C2" s="14" t="s">
        <v>29</v>
      </c>
      <c r="D2" s="14" t="s">
        <v>30</v>
      </c>
      <c r="E2" s="14" t="s">
        <v>31</v>
      </c>
      <c r="F2" s="15">
        <v>2019</v>
      </c>
      <c r="G2" s="16">
        <v>54531948</v>
      </c>
      <c r="H2" s="17">
        <v>568507000</v>
      </c>
      <c r="I2" s="17"/>
      <c r="J2" s="17"/>
      <c r="K2" s="17">
        <v>55845000</v>
      </c>
      <c r="L2" s="17">
        <v>52259000</v>
      </c>
      <c r="M2" s="17">
        <v>43607000</v>
      </c>
      <c r="N2" s="17">
        <v>159640000</v>
      </c>
      <c r="O2" s="17"/>
      <c r="P2" s="17">
        <v>12955000</v>
      </c>
      <c r="Q2" s="17"/>
      <c r="R2" s="17"/>
      <c r="S2" s="17">
        <v>316189000</v>
      </c>
      <c r="T2" s="17">
        <v>-5195000</v>
      </c>
      <c r="U2" s="17">
        <v>1077677000</v>
      </c>
      <c r="V2" s="17">
        <v>3148793000</v>
      </c>
      <c r="W2" s="18">
        <v>157871000</v>
      </c>
      <c r="X2" s="6" t="s">
        <v>32</v>
      </c>
      <c r="Y2" s="6" t="s">
        <v>33</v>
      </c>
      <c r="Z2" s="6" t="s">
        <v>34</v>
      </c>
      <c r="AA2" s="6" t="s">
        <v>35</v>
      </c>
    </row>
    <row r="3" spans="1:27" ht="12" customHeight="1">
      <c r="A3" s="14" t="s">
        <v>27</v>
      </c>
      <c r="B3" s="14" t="s">
        <v>28</v>
      </c>
      <c r="C3" s="14" t="s">
        <v>29</v>
      </c>
      <c r="D3" s="14" t="s">
        <v>30</v>
      </c>
      <c r="E3" s="14" t="s">
        <v>31</v>
      </c>
      <c r="F3" s="15">
        <v>2020</v>
      </c>
      <c r="G3" s="16">
        <v>39747596</v>
      </c>
      <c r="H3" s="17">
        <v>442318000</v>
      </c>
      <c r="I3" s="17"/>
      <c r="J3" s="17"/>
      <c r="K3" s="17">
        <v>42960000</v>
      </c>
      <c r="L3" s="17">
        <v>32688000</v>
      </c>
      <c r="M3" s="17">
        <v>32001000</v>
      </c>
      <c r="N3" s="17">
        <v>117313000</v>
      </c>
      <c r="O3" s="17"/>
      <c r="P3" s="17">
        <v>12239000</v>
      </c>
      <c r="Q3" s="17"/>
      <c r="R3" s="17"/>
      <c r="S3" s="17">
        <v>323202000</v>
      </c>
      <c r="T3" s="17">
        <v>-153378000</v>
      </c>
      <c r="U3" s="17">
        <v>793389000</v>
      </c>
      <c r="V3" s="17">
        <v>3417948000</v>
      </c>
      <c r="W3" s="18">
        <v>132337000</v>
      </c>
      <c r="X3" s="6" t="s">
        <v>32</v>
      </c>
      <c r="Y3" s="6" t="s">
        <v>33</v>
      </c>
      <c r="Z3" s="6" t="s">
        <v>34</v>
      </c>
      <c r="AA3" s="6" t="s">
        <v>35</v>
      </c>
    </row>
    <row r="4" spans="1:27" ht="12" customHeight="1">
      <c r="A4" s="14" t="s">
        <v>27</v>
      </c>
      <c r="B4" s="14" t="s">
        <v>28</v>
      </c>
      <c r="C4" s="14" t="s">
        <v>29</v>
      </c>
      <c r="D4" s="14" t="s">
        <v>30</v>
      </c>
      <c r="E4" s="14" t="s">
        <v>31</v>
      </c>
      <c r="F4" s="15">
        <v>2021</v>
      </c>
      <c r="G4" s="16">
        <v>24928472</v>
      </c>
      <c r="H4" s="17">
        <v>354470000</v>
      </c>
      <c r="I4" s="17"/>
      <c r="J4" s="17"/>
      <c r="K4" s="17">
        <v>15375000</v>
      </c>
      <c r="L4" s="17">
        <v>9696000</v>
      </c>
      <c r="M4" s="17">
        <v>33423000</v>
      </c>
      <c r="N4" s="17">
        <v>71047000</v>
      </c>
      <c r="O4" s="17"/>
      <c r="P4" s="17">
        <v>3468000</v>
      </c>
      <c r="Q4" s="17"/>
      <c r="R4" s="17"/>
      <c r="S4" s="17">
        <v>318621000</v>
      </c>
      <c r="T4" s="17">
        <v>-249958000</v>
      </c>
      <c r="U4" s="17">
        <v>741487000</v>
      </c>
      <c r="V4" s="17">
        <v>3366052000</v>
      </c>
      <c r="W4" s="18">
        <v>142332000</v>
      </c>
      <c r="X4" s="6" t="s">
        <v>32</v>
      </c>
      <c r="Y4" s="6" t="s">
        <v>33</v>
      </c>
      <c r="Z4" s="6" t="s">
        <v>34</v>
      </c>
      <c r="AA4" s="6" t="s">
        <v>35</v>
      </c>
    </row>
    <row r="5" spans="1:27" ht="12" customHeight="1">
      <c r="A5" s="14" t="s">
        <v>27</v>
      </c>
      <c r="B5" s="14" t="s">
        <v>28</v>
      </c>
      <c r="C5" s="14" t="s">
        <v>29</v>
      </c>
      <c r="D5" s="14" t="s">
        <v>30</v>
      </c>
      <c r="E5" s="14" t="s">
        <v>31</v>
      </c>
      <c r="F5" s="15">
        <v>2022</v>
      </c>
      <c r="G5" s="16">
        <v>44860920</v>
      </c>
      <c r="H5" s="17">
        <v>379356000</v>
      </c>
      <c r="I5" s="17"/>
      <c r="J5" s="17"/>
      <c r="K5" s="17">
        <v>17315000</v>
      </c>
      <c r="L5" s="17">
        <v>11485000</v>
      </c>
      <c r="M5" s="17">
        <v>45636000</v>
      </c>
      <c r="N5" s="17">
        <v>158141000</v>
      </c>
      <c r="O5" s="17"/>
      <c r="P5" s="17">
        <v>4690000</v>
      </c>
      <c r="Q5" s="17"/>
      <c r="R5" s="17"/>
      <c r="S5" s="17">
        <v>308864000</v>
      </c>
      <c r="T5" s="17">
        <v>-221088000</v>
      </c>
      <c r="U5" s="17">
        <v>1081124000</v>
      </c>
      <c r="V5" s="17">
        <v>3809061000</v>
      </c>
      <c r="W5" s="18">
        <v>46714000</v>
      </c>
      <c r="X5" s="6" t="s">
        <v>32</v>
      </c>
      <c r="Y5" s="6" t="s">
        <v>33</v>
      </c>
      <c r="Z5" s="6" t="s">
        <v>34</v>
      </c>
      <c r="AA5" s="6" t="s">
        <v>35</v>
      </c>
    </row>
    <row r="6" spans="1:27" ht="12" customHeight="1">
      <c r="A6" s="14" t="s">
        <v>27</v>
      </c>
      <c r="B6" s="14" t="s">
        <v>28</v>
      </c>
      <c r="C6" s="14" t="s">
        <v>29</v>
      </c>
      <c r="D6" s="14" t="s">
        <v>30</v>
      </c>
      <c r="E6" s="14" t="s">
        <v>31</v>
      </c>
      <c r="F6" s="15">
        <v>2023</v>
      </c>
      <c r="G6" s="16">
        <v>49691940</v>
      </c>
      <c r="H6" s="17">
        <v>508301000</v>
      </c>
      <c r="I6" s="17"/>
      <c r="J6" s="17"/>
      <c r="K6" s="17">
        <v>33455000</v>
      </c>
      <c r="L6" s="17">
        <v>21847000</v>
      </c>
      <c r="M6" s="17">
        <v>53039000</v>
      </c>
      <c r="N6" s="17">
        <v>176694000</v>
      </c>
      <c r="O6" s="17"/>
      <c r="P6" s="17">
        <v>6131000</v>
      </c>
      <c r="Q6" s="17"/>
      <c r="R6" s="17"/>
      <c r="S6" s="17">
        <v>371155000</v>
      </c>
      <c r="T6" s="17">
        <v>-167133000</v>
      </c>
      <c r="U6" s="17">
        <v>1081740000</v>
      </c>
      <c r="V6" s="17">
        <v>3471964000</v>
      </c>
      <c r="W6" s="18">
        <v>112705000</v>
      </c>
      <c r="X6" s="6" t="s">
        <v>32</v>
      </c>
      <c r="Y6" s="6" t="s">
        <v>33</v>
      </c>
      <c r="Z6" s="6" t="s">
        <v>34</v>
      </c>
      <c r="AA6" s="6" t="s">
        <v>35</v>
      </c>
    </row>
    <row r="7" spans="1:27" ht="12" customHeight="1">
      <c r="A7" s="14" t="s">
        <v>27</v>
      </c>
      <c r="B7" s="14" t="s">
        <v>28</v>
      </c>
      <c r="C7" s="14" t="s">
        <v>29</v>
      </c>
      <c r="D7" s="14" t="s">
        <v>30</v>
      </c>
      <c r="E7" s="14" t="s">
        <v>31</v>
      </c>
      <c r="F7" s="15">
        <v>2024</v>
      </c>
      <c r="G7" s="16">
        <v>53681363</v>
      </c>
      <c r="H7" s="17">
        <v>682121000</v>
      </c>
      <c r="I7" s="17"/>
      <c r="J7" s="17"/>
      <c r="K7" s="17">
        <v>65475000</v>
      </c>
      <c r="L7" s="17">
        <v>47319000</v>
      </c>
      <c r="M7" s="17">
        <v>54030000</v>
      </c>
      <c r="N7" s="17">
        <v>179454000</v>
      </c>
      <c r="O7" s="17"/>
      <c r="P7" s="17">
        <v>14575000</v>
      </c>
      <c r="Q7" s="17"/>
      <c r="R7" s="17"/>
      <c r="S7" s="17">
        <v>403204000</v>
      </c>
      <c r="T7" s="17">
        <v>-40446000</v>
      </c>
      <c r="U7" s="17">
        <v>1593429000</v>
      </c>
      <c r="V7" s="17">
        <v>4407374000</v>
      </c>
      <c r="W7" s="18">
        <v>211157000</v>
      </c>
      <c r="X7" s="6" t="s">
        <v>32</v>
      </c>
      <c r="Y7" s="6" t="s">
        <v>33</v>
      </c>
      <c r="Z7" s="6" t="s">
        <v>34</v>
      </c>
      <c r="AA7" s="6" t="s">
        <v>35</v>
      </c>
    </row>
    <row r="8" spans="1:27" ht="12" customHeight="1">
      <c r="A8" s="14" t="s">
        <v>36</v>
      </c>
      <c r="B8" s="14" t="s">
        <v>37</v>
      </c>
      <c r="C8" s="14" t="s">
        <v>38</v>
      </c>
      <c r="D8" s="14" t="s">
        <v>39</v>
      </c>
      <c r="E8" s="14" t="s">
        <v>31</v>
      </c>
      <c r="F8" s="15">
        <v>2019</v>
      </c>
      <c r="G8" s="16">
        <v>36623417</v>
      </c>
      <c r="H8" s="17">
        <v>1023927000</v>
      </c>
      <c r="I8" s="17"/>
      <c r="J8" s="17"/>
      <c r="K8" s="17">
        <v>40135000</v>
      </c>
      <c r="L8" s="17">
        <v>24775000</v>
      </c>
      <c r="M8" s="17">
        <v>47480000</v>
      </c>
      <c r="N8" s="17">
        <v>184414000</v>
      </c>
      <c r="O8" s="17"/>
      <c r="P8" s="17">
        <v>26888000</v>
      </c>
      <c r="Q8" s="17"/>
      <c r="R8" s="17"/>
      <c r="S8" s="17">
        <v>571918000</v>
      </c>
      <c r="T8" s="17">
        <v>148812000</v>
      </c>
      <c r="U8" s="17">
        <v>407893000</v>
      </c>
      <c r="V8" s="17">
        <v>6272280000</v>
      </c>
      <c r="W8" s="18">
        <v>474389000</v>
      </c>
      <c r="X8" s="6" t="s">
        <v>32</v>
      </c>
      <c r="Y8" s="6" t="s">
        <v>40</v>
      </c>
      <c r="Z8" s="6" t="s">
        <v>34</v>
      </c>
      <c r="AA8" s="6" t="s">
        <v>35</v>
      </c>
    </row>
    <row r="9" spans="1:27" ht="12" customHeight="1">
      <c r="A9" s="14" t="s">
        <v>36</v>
      </c>
      <c r="B9" s="14" t="s">
        <v>37</v>
      </c>
      <c r="C9" s="14" t="s">
        <v>38</v>
      </c>
      <c r="D9" s="14" t="s">
        <v>39</v>
      </c>
      <c r="E9" s="14" t="s">
        <v>31</v>
      </c>
      <c r="F9" s="15">
        <v>2020</v>
      </c>
      <c r="G9" s="16">
        <v>23661724</v>
      </c>
      <c r="H9" s="17">
        <v>786181000</v>
      </c>
      <c r="I9" s="17"/>
      <c r="J9" s="17"/>
      <c r="K9" s="17">
        <v>25733000</v>
      </c>
      <c r="L9" s="17">
        <v>12071000</v>
      </c>
      <c r="M9" s="17">
        <v>32367000</v>
      </c>
      <c r="N9" s="17">
        <v>103714000</v>
      </c>
      <c r="O9" s="17"/>
      <c r="P9" s="17">
        <v>22189000</v>
      </c>
      <c r="Q9" s="17"/>
      <c r="R9" s="17"/>
      <c r="S9" s="17">
        <v>537558000</v>
      </c>
      <c r="T9" s="17">
        <v>-61538000</v>
      </c>
      <c r="U9" s="17">
        <v>484581000</v>
      </c>
      <c r="V9" s="17">
        <v>6175800000</v>
      </c>
      <c r="W9" s="18">
        <v>432726000</v>
      </c>
      <c r="X9" s="6" t="s">
        <v>32</v>
      </c>
      <c r="Y9" s="6" t="s">
        <v>40</v>
      </c>
      <c r="Z9" s="6" t="s">
        <v>34</v>
      </c>
      <c r="AA9" s="6" t="s">
        <v>35</v>
      </c>
    </row>
    <row r="10" spans="1:27" ht="12" customHeight="1">
      <c r="A10" s="14" t="s">
        <v>36</v>
      </c>
      <c r="B10" s="14" t="s">
        <v>37</v>
      </c>
      <c r="C10" s="14" t="s">
        <v>38</v>
      </c>
      <c r="D10" s="14" t="s">
        <v>39</v>
      </c>
      <c r="E10" s="14" t="s">
        <v>31</v>
      </c>
      <c r="F10" s="15">
        <v>2021</v>
      </c>
      <c r="G10" s="16">
        <v>27633567</v>
      </c>
      <c r="H10" s="17">
        <v>791802000</v>
      </c>
      <c r="I10" s="17"/>
      <c r="J10" s="17"/>
      <c r="K10" s="17">
        <v>30979000</v>
      </c>
      <c r="L10" s="17">
        <v>12873000</v>
      </c>
      <c r="M10" s="17">
        <v>40503000</v>
      </c>
      <c r="N10" s="17">
        <v>116564000</v>
      </c>
      <c r="O10" s="17"/>
      <c r="P10" s="17">
        <v>20929000</v>
      </c>
      <c r="Q10" s="17"/>
      <c r="R10" s="17"/>
      <c r="S10" s="17">
        <v>511736000</v>
      </c>
      <c r="T10" s="17">
        <v>280066000</v>
      </c>
      <c r="U10" s="17">
        <v>642523000</v>
      </c>
      <c r="V10" s="17">
        <v>6321955000</v>
      </c>
      <c r="W10" s="18">
        <v>431828000</v>
      </c>
      <c r="X10" s="6" t="s">
        <v>32</v>
      </c>
      <c r="Y10" s="6" t="s">
        <v>40</v>
      </c>
      <c r="Z10" s="6" t="s">
        <v>34</v>
      </c>
      <c r="AA10" s="6" t="s">
        <v>35</v>
      </c>
    </row>
    <row r="11" spans="1:27" ht="12" customHeight="1">
      <c r="A11" s="14" t="s">
        <v>36</v>
      </c>
      <c r="B11" s="14" t="s">
        <v>37</v>
      </c>
      <c r="C11" s="14" t="s">
        <v>38</v>
      </c>
      <c r="D11" s="14" t="s">
        <v>39</v>
      </c>
      <c r="E11" s="14" t="s">
        <v>31</v>
      </c>
      <c r="F11" s="15">
        <v>2022</v>
      </c>
      <c r="G11" s="16">
        <v>36057362</v>
      </c>
      <c r="H11" s="17">
        <v>977955000</v>
      </c>
      <c r="I11" s="17"/>
      <c r="J11" s="17"/>
      <c r="K11" s="17">
        <v>27667000</v>
      </c>
      <c r="L11" s="17">
        <v>24176000</v>
      </c>
      <c r="M11" s="17">
        <v>52908000</v>
      </c>
      <c r="N11" s="17">
        <v>195997000</v>
      </c>
      <c r="O11" s="17"/>
      <c r="P11" s="17">
        <v>33495000</v>
      </c>
      <c r="Q11" s="17"/>
      <c r="R11" s="17"/>
      <c r="S11" s="17">
        <v>612684000</v>
      </c>
      <c r="T11" s="17">
        <v>30681000</v>
      </c>
      <c r="U11" s="17">
        <v>496883000</v>
      </c>
      <c r="V11" s="17">
        <v>7491495000</v>
      </c>
      <c r="W11" s="18">
        <v>439592000</v>
      </c>
      <c r="X11" s="6" t="s">
        <v>32</v>
      </c>
      <c r="Y11" s="6" t="s">
        <v>40</v>
      </c>
      <c r="Z11" s="6" t="s">
        <v>34</v>
      </c>
      <c r="AA11" s="6" t="s">
        <v>35</v>
      </c>
    </row>
    <row r="12" spans="1:27" ht="12" customHeight="1">
      <c r="A12" s="14" t="s">
        <v>36</v>
      </c>
      <c r="B12" s="14" t="s">
        <v>37</v>
      </c>
      <c r="C12" s="14" t="s">
        <v>38</v>
      </c>
      <c r="D12" s="14" t="s">
        <v>39</v>
      </c>
      <c r="E12" s="14" t="s">
        <v>31</v>
      </c>
      <c r="F12" s="15">
        <v>2023</v>
      </c>
      <c r="G12" s="16">
        <v>39755000</v>
      </c>
      <c r="H12" s="17">
        <v>1070890000</v>
      </c>
      <c r="I12" s="17"/>
      <c r="J12" s="17"/>
      <c r="K12" s="17">
        <v>54072000</v>
      </c>
      <c r="L12" s="17">
        <v>23073000</v>
      </c>
      <c r="M12" s="17">
        <v>58416000</v>
      </c>
      <c r="N12" s="17">
        <v>224105000</v>
      </c>
      <c r="O12" s="17"/>
      <c r="P12" s="17">
        <v>36309000</v>
      </c>
      <c r="Q12" s="17"/>
      <c r="R12" s="17"/>
      <c r="S12" s="17">
        <v>696079000</v>
      </c>
      <c r="T12" s="17">
        <v>18478000</v>
      </c>
      <c r="U12" s="17">
        <v>601365000</v>
      </c>
      <c r="V12" s="17">
        <v>7476675000</v>
      </c>
      <c r="W12" s="18">
        <v>459427000</v>
      </c>
      <c r="X12" s="6" t="s">
        <v>32</v>
      </c>
      <c r="Y12" s="6" t="s">
        <v>40</v>
      </c>
      <c r="Z12" s="6" t="s">
        <v>34</v>
      </c>
      <c r="AA12" s="6" t="s">
        <v>35</v>
      </c>
    </row>
    <row r="13" spans="1:27" ht="12" customHeight="1">
      <c r="A13" s="14" t="s">
        <v>36</v>
      </c>
      <c r="B13" s="14" t="s">
        <v>37</v>
      </c>
      <c r="C13" s="14" t="s">
        <v>38</v>
      </c>
      <c r="D13" s="14" t="s">
        <v>39</v>
      </c>
      <c r="E13" s="14" t="s">
        <v>31</v>
      </c>
      <c r="F13" s="15">
        <v>2024</v>
      </c>
      <c r="G13" s="16">
        <v>43370826</v>
      </c>
      <c r="H13" s="17">
        <v>1248691000</v>
      </c>
      <c r="I13" s="17"/>
      <c r="J13" s="17"/>
      <c r="K13" s="17">
        <v>61356000</v>
      </c>
      <c r="L13" s="17">
        <v>26017000</v>
      </c>
      <c r="M13" s="17">
        <v>64571000</v>
      </c>
      <c r="N13" s="17">
        <v>251054000</v>
      </c>
      <c r="O13" s="17"/>
      <c r="P13" s="17">
        <v>38715000</v>
      </c>
      <c r="Q13" s="17"/>
      <c r="R13" s="17"/>
      <c r="S13" s="17">
        <v>755329000</v>
      </c>
      <c r="T13" s="17">
        <v>119158000</v>
      </c>
      <c r="U13" s="17">
        <v>1064961000</v>
      </c>
      <c r="V13" s="17">
        <v>7948300000</v>
      </c>
      <c r="W13" s="18">
        <v>582834000</v>
      </c>
      <c r="X13" s="6" t="s">
        <v>32</v>
      </c>
      <c r="Y13" s="6" t="s">
        <v>40</v>
      </c>
      <c r="Z13" s="6" t="s">
        <v>34</v>
      </c>
      <c r="AA13" s="6" t="s">
        <v>35</v>
      </c>
    </row>
    <row r="14" spans="1:27" ht="12" customHeight="1">
      <c r="A14" s="14" t="s">
        <v>41</v>
      </c>
      <c r="B14" s="14" t="s">
        <v>42</v>
      </c>
      <c r="C14" s="14" t="s">
        <v>43</v>
      </c>
      <c r="D14" s="14" t="s">
        <v>44</v>
      </c>
      <c r="E14" s="14" t="s">
        <v>31</v>
      </c>
      <c r="F14" s="15">
        <v>2019</v>
      </c>
      <c r="G14" s="16">
        <v>44207464</v>
      </c>
      <c r="H14" s="17">
        <v>1517731000</v>
      </c>
      <c r="I14" s="17"/>
      <c r="J14" s="17"/>
      <c r="K14" s="17">
        <v>58179000</v>
      </c>
      <c r="L14" s="17">
        <v>118176000</v>
      </c>
      <c r="M14" s="17">
        <v>82607000</v>
      </c>
      <c r="N14" s="17">
        <v>189875000</v>
      </c>
      <c r="O14" s="17"/>
      <c r="P14" s="17">
        <v>52330000</v>
      </c>
      <c r="Q14" s="17"/>
      <c r="R14" s="17"/>
      <c r="S14" s="17">
        <v>798374000</v>
      </c>
      <c r="T14" s="17">
        <v>316711000</v>
      </c>
      <c r="U14" s="17">
        <v>1343899000</v>
      </c>
      <c r="V14" s="17">
        <v>7239791000</v>
      </c>
      <c r="W14" s="18">
        <v>777059000</v>
      </c>
      <c r="X14" s="6" t="s">
        <v>32</v>
      </c>
      <c r="Y14" s="6" t="s">
        <v>45</v>
      </c>
      <c r="Z14" s="6" t="s">
        <v>34</v>
      </c>
      <c r="AA14" s="6" t="s">
        <v>35</v>
      </c>
    </row>
    <row r="15" spans="1:27" ht="12" customHeight="1">
      <c r="A15" s="14" t="s">
        <v>41</v>
      </c>
      <c r="B15" s="14" t="s">
        <v>42</v>
      </c>
      <c r="C15" s="14" t="s">
        <v>43</v>
      </c>
      <c r="D15" s="14" t="s">
        <v>44</v>
      </c>
      <c r="E15" s="14" t="s">
        <v>31</v>
      </c>
      <c r="F15" s="15">
        <v>2020</v>
      </c>
      <c r="G15" s="16">
        <v>31429457</v>
      </c>
      <c r="H15" s="17">
        <v>1345112000</v>
      </c>
      <c r="I15" s="17"/>
      <c r="J15" s="17"/>
      <c r="K15" s="17">
        <v>43390000</v>
      </c>
      <c r="L15" s="17">
        <v>80230000</v>
      </c>
      <c r="M15" s="17">
        <v>65181000</v>
      </c>
      <c r="N15" s="17">
        <v>146125000</v>
      </c>
      <c r="O15" s="17"/>
      <c r="P15" s="17">
        <v>45404000</v>
      </c>
      <c r="Q15" s="17"/>
      <c r="R15" s="17"/>
      <c r="S15" s="17">
        <v>888840000</v>
      </c>
      <c r="T15" s="17">
        <v>10385000</v>
      </c>
      <c r="U15" s="17">
        <v>1685625000</v>
      </c>
      <c r="V15" s="17">
        <v>7226367000</v>
      </c>
      <c r="W15" s="18">
        <v>717144000</v>
      </c>
      <c r="X15" s="6" t="s">
        <v>32</v>
      </c>
      <c r="Y15" s="6" t="s">
        <v>45</v>
      </c>
      <c r="Z15" s="6" t="s">
        <v>34</v>
      </c>
      <c r="AA15" s="6" t="s">
        <v>35</v>
      </c>
    </row>
    <row r="16" spans="1:27" ht="12" customHeight="1">
      <c r="A16" s="14" t="s">
        <v>41</v>
      </c>
      <c r="B16" s="14" t="s">
        <v>42</v>
      </c>
      <c r="C16" s="14" t="s">
        <v>43</v>
      </c>
      <c r="D16" s="14" t="s">
        <v>44</v>
      </c>
      <c r="E16" s="14" t="s">
        <v>31</v>
      </c>
      <c r="F16" s="15">
        <v>2021</v>
      </c>
      <c r="G16" s="16">
        <v>14593791</v>
      </c>
      <c r="H16" s="17">
        <v>1051209000</v>
      </c>
      <c r="I16" s="17"/>
      <c r="J16" s="17"/>
      <c r="K16" s="17">
        <v>11987000</v>
      </c>
      <c r="L16" s="17">
        <v>14702000</v>
      </c>
      <c r="M16" s="17">
        <v>33686000</v>
      </c>
      <c r="N16" s="17">
        <v>84389000</v>
      </c>
      <c r="O16" s="17"/>
      <c r="P16" s="17">
        <v>16658000</v>
      </c>
      <c r="Q16" s="17"/>
      <c r="R16" s="17"/>
      <c r="S16" s="17">
        <v>772041000</v>
      </c>
      <c r="T16" s="17">
        <v>-160179000</v>
      </c>
      <c r="U16" s="17">
        <v>2600905000</v>
      </c>
      <c r="V16" s="17">
        <v>8322826000</v>
      </c>
      <c r="W16" s="18">
        <v>638190000</v>
      </c>
      <c r="X16" s="6" t="s">
        <v>32</v>
      </c>
      <c r="Y16" s="6" t="s">
        <v>45</v>
      </c>
      <c r="Z16" s="6" t="s">
        <v>34</v>
      </c>
      <c r="AA16" s="6" t="s">
        <v>35</v>
      </c>
    </row>
    <row r="17" spans="1:27" ht="12" customHeight="1">
      <c r="A17" s="14" t="s">
        <v>41</v>
      </c>
      <c r="B17" s="14" t="s">
        <v>42</v>
      </c>
      <c r="C17" s="14" t="s">
        <v>43</v>
      </c>
      <c r="D17" s="14" t="s">
        <v>44</v>
      </c>
      <c r="E17" s="14" t="s">
        <v>31</v>
      </c>
      <c r="F17" s="15">
        <v>2022</v>
      </c>
      <c r="G17" s="16">
        <v>30253056</v>
      </c>
      <c r="H17" s="17">
        <v>1385437000</v>
      </c>
      <c r="I17" s="17"/>
      <c r="J17" s="17"/>
      <c r="K17" s="17">
        <v>34668000</v>
      </c>
      <c r="L17" s="17">
        <v>44958000</v>
      </c>
      <c r="M17" s="17">
        <v>78249000</v>
      </c>
      <c r="N17" s="17">
        <v>166880000</v>
      </c>
      <c r="O17" s="17"/>
      <c r="P17" s="17">
        <v>41557000</v>
      </c>
      <c r="Q17" s="17"/>
      <c r="R17" s="17"/>
      <c r="S17" s="17">
        <v>723951000</v>
      </c>
      <c r="T17" s="17">
        <v>39583000</v>
      </c>
      <c r="U17" s="17">
        <v>1058035000</v>
      </c>
      <c r="V17" s="17">
        <v>9702746000</v>
      </c>
      <c r="W17" s="18">
        <v>769276000</v>
      </c>
      <c r="X17" s="6" t="s">
        <v>32</v>
      </c>
      <c r="Y17" s="6" t="s">
        <v>45</v>
      </c>
      <c r="Z17" s="6" t="s">
        <v>34</v>
      </c>
      <c r="AA17" s="6" t="s">
        <v>35</v>
      </c>
    </row>
    <row r="18" spans="1:27" ht="12" customHeight="1">
      <c r="A18" s="14" t="s">
        <v>41</v>
      </c>
      <c r="B18" s="14" t="s">
        <v>42</v>
      </c>
      <c r="C18" s="14" t="s">
        <v>43</v>
      </c>
      <c r="D18" s="14" t="s">
        <v>44</v>
      </c>
      <c r="E18" s="14" t="s">
        <v>31</v>
      </c>
      <c r="F18" s="15">
        <v>2023</v>
      </c>
      <c r="G18" s="16">
        <v>35525350</v>
      </c>
      <c r="H18" s="17">
        <v>1730329000</v>
      </c>
      <c r="I18" s="17"/>
      <c r="J18" s="17"/>
      <c r="K18" s="17">
        <v>48295000</v>
      </c>
      <c r="L18" s="17">
        <v>65670000</v>
      </c>
      <c r="M18" s="17">
        <v>83827000</v>
      </c>
      <c r="N18" s="17">
        <v>205600000</v>
      </c>
      <c r="O18" s="17"/>
      <c r="P18" s="17">
        <v>44086000</v>
      </c>
      <c r="Q18" s="17"/>
      <c r="R18" s="17"/>
      <c r="S18" s="17">
        <v>832384000</v>
      </c>
      <c r="T18" s="17">
        <v>208179000</v>
      </c>
      <c r="U18" s="17">
        <v>2254326000</v>
      </c>
      <c r="V18" s="17">
        <v>11337226000</v>
      </c>
      <c r="W18" s="18">
        <v>1024547000</v>
      </c>
      <c r="X18" s="6" t="s">
        <v>32</v>
      </c>
      <c r="Y18" s="6" t="s">
        <v>45</v>
      </c>
      <c r="Z18" s="6" t="s">
        <v>34</v>
      </c>
      <c r="AA18" s="6" t="s">
        <v>35</v>
      </c>
    </row>
    <row r="19" spans="1:27" ht="12" customHeight="1">
      <c r="A19" s="14" t="s">
        <v>41</v>
      </c>
      <c r="B19" s="14" t="s">
        <v>42</v>
      </c>
      <c r="C19" s="14" t="s">
        <v>43</v>
      </c>
      <c r="D19" s="14" t="s">
        <v>44</v>
      </c>
      <c r="E19" s="14" t="s">
        <v>31</v>
      </c>
      <c r="F19" s="15">
        <v>2024</v>
      </c>
      <c r="G19" s="16">
        <v>38339553</v>
      </c>
      <c r="H19" s="17">
        <v>1929017000</v>
      </c>
      <c r="I19" s="17"/>
      <c r="J19" s="17"/>
      <c r="K19" s="17">
        <v>50814000</v>
      </c>
      <c r="L19" s="17">
        <v>97257000</v>
      </c>
      <c r="M19" s="17">
        <v>82795000</v>
      </c>
      <c r="N19" s="17">
        <v>230851000</v>
      </c>
      <c r="O19" s="17"/>
      <c r="P19" s="17">
        <v>50677000</v>
      </c>
      <c r="Q19" s="17"/>
      <c r="R19" s="17"/>
      <c r="S19" s="17">
        <v>939987000</v>
      </c>
      <c r="T19" s="17">
        <v>231398000</v>
      </c>
      <c r="U19" s="17">
        <v>1889873000</v>
      </c>
      <c r="V19" s="17">
        <v>11771377000</v>
      </c>
      <c r="W19" s="18">
        <v>1156406000</v>
      </c>
      <c r="X19" s="6" t="s">
        <v>32</v>
      </c>
      <c r="Y19" s="6" t="s">
        <v>45</v>
      </c>
      <c r="Z19" s="6" t="s">
        <v>34</v>
      </c>
      <c r="AA19" s="6" t="s">
        <v>35</v>
      </c>
    </row>
    <row r="20" spans="1:27" ht="12" customHeight="1">
      <c r="A20" s="14" t="s">
        <v>46</v>
      </c>
      <c r="B20" s="14" t="s">
        <v>47</v>
      </c>
      <c r="C20" s="14" t="s">
        <v>48</v>
      </c>
      <c r="D20" s="14" t="s">
        <v>49</v>
      </c>
      <c r="E20" s="14" t="s">
        <v>31</v>
      </c>
      <c r="F20" s="15">
        <v>2019</v>
      </c>
      <c r="G20" s="16">
        <v>25873875</v>
      </c>
      <c r="H20" s="17">
        <v>626636000</v>
      </c>
      <c r="I20" s="17"/>
      <c r="J20" s="17"/>
      <c r="K20" s="17">
        <v>26314000</v>
      </c>
      <c r="L20" s="17">
        <v>22502000</v>
      </c>
      <c r="M20" s="17">
        <v>36793000</v>
      </c>
      <c r="N20" s="17">
        <v>113327000</v>
      </c>
      <c r="O20" s="17"/>
      <c r="P20" s="17">
        <v>30744000</v>
      </c>
      <c r="Q20" s="17"/>
      <c r="R20" s="17"/>
      <c r="S20" s="17">
        <v>356635000</v>
      </c>
      <c r="T20" s="17">
        <v>133767000</v>
      </c>
      <c r="U20" s="17">
        <v>573598000</v>
      </c>
      <c r="V20" s="17">
        <v>3430403000</v>
      </c>
      <c r="W20" s="18">
        <v>332882000</v>
      </c>
      <c r="X20" s="6" t="s">
        <v>32</v>
      </c>
      <c r="Y20" s="6" t="s">
        <v>50</v>
      </c>
      <c r="Z20" s="6" t="s">
        <v>34</v>
      </c>
      <c r="AA20" s="6" t="s">
        <v>35</v>
      </c>
    </row>
    <row r="21" spans="1:27" ht="12" customHeight="1">
      <c r="A21" s="14" t="s">
        <v>46</v>
      </c>
      <c r="B21" s="14" t="s">
        <v>47</v>
      </c>
      <c r="C21" s="14" t="s">
        <v>48</v>
      </c>
      <c r="D21" s="14" t="s">
        <v>49</v>
      </c>
      <c r="E21" s="14" t="s">
        <v>31</v>
      </c>
      <c r="F21" s="15">
        <v>2020</v>
      </c>
      <c r="G21" s="16">
        <v>10043727</v>
      </c>
      <c r="H21" s="17">
        <v>405766000</v>
      </c>
      <c r="I21" s="17"/>
      <c r="J21" s="17"/>
      <c r="K21" s="17">
        <v>9709000</v>
      </c>
      <c r="L21" s="17">
        <v>8169000</v>
      </c>
      <c r="M21" s="17">
        <v>16637000</v>
      </c>
      <c r="N21" s="17">
        <v>49907000</v>
      </c>
      <c r="O21" s="17"/>
      <c r="P21" s="17">
        <v>15652000</v>
      </c>
      <c r="Q21" s="17"/>
      <c r="R21" s="17"/>
      <c r="S21" s="17">
        <v>329680000</v>
      </c>
      <c r="T21" s="17">
        <v>-66325000</v>
      </c>
      <c r="U21" s="17">
        <v>504006000</v>
      </c>
      <c r="V21" s="17">
        <v>3279019000</v>
      </c>
      <c r="W21" s="18">
        <v>256305000</v>
      </c>
      <c r="X21" s="6" t="s">
        <v>32</v>
      </c>
      <c r="Y21" s="6" t="s">
        <v>50</v>
      </c>
      <c r="Z21" s="6" t="s">
        <v>34</v>
      </c>
      <c r="AA21" s="6" t="s">
        <v>35</v>
      </c>
    </row>
    <row r="22" spans="1:27" ht="12" customHeight="1">
      <c r="A22" s="14" t="s">
        <v>46</v>
      </c>
      <c r="B22" s="14" t="s">
        <v>47</v>
      </c>
      <c r="C22" s="14" t="s">
        <v>48</v>
      </c>
      <c r="D22" s="14" t="s">
        <v>49</v>
      </c>
      <c r="E22" s="14" t="s">
        <v>31</v>
      </c>
      <c r="F22" s="15">
        <v>2021</v>
      </c>
      <c r="G22" s="16">
        <v>18072926</v>
      </c>
      <c r="H22" s="17">
        <v>501332000</v>
      </c>
      <c r="I22" s="17"/>
      <c r="J22" s="17"/>
      <c r="K22" s="17">
        <v>16979000</v>
      </c>
      <c r="L22" s="17">
        <v>12412000</v>
      </c>
      <c r="M22" s="17">
        <v>34740000</v>
      </c>
      <c r="N22" s="17">
        <v>85057000</v>
      </c>
      <c r="O22" s="17"/>
      <c r="P22" s="17">
        <v>16649000</v>
      </c>
      <c r="Q22" s="17"/>
      <c r="R22" s="17"/>
      <c r="S22" s="17">
        <v>294217000</v>
      </c>
      <c r="T22" s="17">
        <v>54272000</v>
      </c>
      <c r="U22" s="17">
        <v>389039000</v>
      </c>
      <c r="V22" s="17">
        <v>3581677000</v>
      </c>
      <c r="W22" s="18">
        <v>287872000</v>
      </c>
      <c r="X22" s="6" t="s">
        <v>32</v>
      </c>
      <c r="Y22" s="6" t="s">
        <v>50</v>
      </c>
      <c r="Z22" s="6" t="s">
        <v>34</v>
      </c>
      <c r="AA22" s="6" t="s">
        <v>35</v>
      </c>
    </row>
    <row r="23" spans="1:27" ht="12" customHeight="1">
      <c r="A23" s="14" t="s">
        <v>46</v>
      </c>
      <c r="B23" s="14" t="s">
        <v>47</v>
      </c>
      <c r="C23" s="14" t="s">
        <v>48</v>
      </c>
      <c r="D23" s="14" t="s">
        <v>49</v>
      </c>
      <c r="E23" s="14" t="s">
        <v>31</v>
      </c>
      <c r="F23" s="15">
        <v>2022</v>
      </c>
      <c r="G23" s="16">
        <v>22966119</v>
      </c>
      <c r="H23" s="17">
        <v>652373000</v>
      </c>
      <c r="I23" s="17"/>
      <c r="J23" s="17"/>
      <c r="K23" s="17">
        <v>17646000</v>
      </c>
      <c r="L23" s="17">
        <v>11228000</v>
      </c>
      <c r="M23" s="17">
        <v>42330000</v>
      </c>
      <c r="N23" s="17">
        <v>120348000</v>
      </c>
      <c r="O23" s="17"/>
      <c r="P23" s="17">
        <v>23646000</v>
      </c>
      <c r="Q23" s="17"/>
      <c r="R23" s="17"/>
      <c r="S23" s="17">
        <v>382664000</v>
      </c>
      <c r="T23" s="17">
        <v>75363000</v>
      </c>
      <c r="U23" s="17">
        <v>311049000</v>
      </c>
      <c r="V23" s="17">
        <v>3955608000</v>
      </c>
      <c r="W23" s="18">
        <v>369450000</v>
      </c>
      <c r="X23" s="6" t="s">
        <v>32</v>
      </c>
      <c r="Y23" s="6" t="s">
        <v>50</v>
      </c>
      <c r="Z23" s="6" t="s">
        <v>34</v>
      </c>
      <c r="AA23" s="6" t="s">
        <v>35</v>
      </c>
    </row>
    <row r="24" spans="1:27" ht="12" customHeight="1">
      <c r="A24" s="14" t="s">
        <v>46</v>
      </c>
      <c r="B24" s="14" t="s">
        <v>47</v>
      </c>
      <c r="C24" s="14" t="s">
        <v>48</v>
      </c>
      <c r="D24" s="14" t="s">
        <v>49</v>
      </c>
      <c r="E24" s="14" t="s">
        <v>31</v>
      </c>
      <c r="F24" s="15">
        <v>2023</v>
      </c>
      <c r="G24" s="16">
        <v>25371436</v>
      </c>
      <c r="H24" s="17">
        <v>798449000</v>
      </c>
      <c r="I24" s="17"/>
      <c r="J24" s="17"/>
      <c r="K24" s="17">
        <v>31827000</v>
      </c>
      <c r="L24" s="17">
        <v>20804000</v>
      </c>
      <c r="M24" s="17">
        <v>46506000</v>
      </c>
      <c r="N24" s="17">
        <v>146442000</v>
      </c>
      <c r="O24" s="17"/>
      <c r="P24" s="17">
        <v>34857000</v>
      </c>
      <c r="Q24" s="17"/>
      <c r="R24" s="17"/>
      <c r="S24" s="17">
        <v>445715000</v>
      </c>
      <c r="T24" s="17">
        <v>138135000</v>
      </c>
      <c r="U24" s="17">
        <v>445121000</v>
      </c>
      <c r="V24" s="17">
        <v>3776138000</v>
      </c>
      <c r="W24" s="18">
        <v>444727000</v>
      </c>
      <c r="X24" s="6" t="s">
        <v>32</v>
      </c>
      <c r="Y24" s="6" t="s">
        <v>50</v>
      </c>
      <c r="Z24" s="6" t="s">
        <v>34</v>
      </c>
      <c r="AA24" s="6" t="s">
        <v>35</v>
      </c>
    </row>
    <row r="25" spans="1:27" ht="12" customHeight="1">
      <c r="A25" s="14" t="s">
        <v>46</v>
      </c>
      <c r="B25" s="14" t="s">
        <v>47</v>
      </c>
      <c r="C25" s="14" t="s">
        <v>48</v>
      </c>
      <c r="D25" s="14" t="s">
        <v>49</v>
      </c>
      <c r="E25" s="14" t="s">
        <v>31</v>
      </c>
      <c r="F25" s="15">
        <v>2024</v>
      </c>
      <c r="G25" s="16">
        <v>26264885</v>
      </c>
      <c r="H25" s="17">
        <v>861301000</v>
      </c>
      <c r="I25" s="17"/>
      <c r="J25" s="17"/>
      <c r="K25" s="17">
        <v>34238000</v>
      </c>
      <c r="L25" s="17">
        <v>23418000</v>
      </c>
      <c r="M25" s="17">
        <v>45399000</v>
      </c>
      <c r="N25" s="17">
        <v>151034000</v>
      </c>
      <c r="O25" s="17"/>
      <c r="P25" s="17">
        <v>41567000</v>
      </c>
      <c r="Q25" s="17"/>
      <c r="R25" s="17"/>
      <c r="S25" s="17">
        <v>529828000</v>
      </c>
      <c r="T25" s="17">
        <v>93208000</v>
      </c>
      <c r="U25" s="17">
        <v>684065000</v>
      </c>
      <c r="V25" s="17">
        <v>4131470000</v>
      </c>
      <c r="W25" s="18">
        <v>479126000</v>
      </c>
      <c r="X25" s="6" t="s">
        <v>32</v>
      </c>
      <c r="Y25" s="6" t="s">
        <v>50</v>
      </c>
      <c r="Z25" s="6" t="s">
        <v>34</v>
      </c>
      <c r="AA25" s="6" t="s">
        <v>35</v>
      </c>
    </row>
    <row r="26" spans="1:27" ht="12" customHeight="1">
      <c r="A26" s="14" t="s">
        <v>51</v>
      </c>
      <c r="B26" s="14" t="s">
        <v>52</v>
      </c>
      <c r="C26" s="14" t="s">
        <v>53</v>
      </c>
      <c r="D26" s="14" t="s">
        <v>54</v>
      </c>
      <c r="E26" s="14" t="s">
        <v>55</v>
      </c>
      <c r="F26" s="15">
        <v>2019</v>
      </c>
      <c r="G26" s="16">
        <v>4974275</v>
      </c>
      <c r="H26" s="17">
        <v>148978000</v>
      </c>
      <c r="I26" s="17"/>
      <c r="J26" s="17"/>
      <c r="K26" s="17">
        <v>2966000</v>
      </c>
      <c r="L26" s="17">
        <v>1262000</v>
      </c>
      <c r="M26" s="17">
        <v>11561000</v>
      </c>
      <c r="N26" s="17">
        <v>41526000</v>
      </c>
      <c r="O26" s="17"/>
      <c r="P26" s="17">
        <v>6964000</v>
      </c>
      <c r="Q26" s="17"/>
      <c r="R26" s="17"/>
      <c r="S26" s="17">
        <v>90143000</v>
      </c>
      <c r="T26" s="17">
        <v>3104000</v>
      </c>
      <c r="U26" s="17">
        <v>27399000</v>
      </c>
      <c r="V26" s="17">
        <v>645515000</v>
      </c>
      <c r="W26" s="18">
        <v>69983000</v>
      </c>
      <c r="X26" s="6" t="s">
        <v>32</v>
      </c>
      <c r="Y26" s="6" t="s">
        <v>56</v>
      </c>
      <c r="Z26" s="6" t="s">
        <v>34</v>
      </c>
      <c r="AA26" s="6" t="s">
        <v>35</v>
      </c>
    </row>
    <row r="27" spans="1:27" ht="12" customHeight="1">
      <c r="A27" s="14" t="s">
        <v>51</v>
      </c>
      <c r="B27" s="14" t="s">
        <v>52</v>
      </c>
      <c r="C27" s="14" t="s">
        <v>53</v>
      </c>
      <c r="D27" s="14" t="s">
        <v>54</v>
      </c>
      <c r="E27" s="14" t="s">
        <v>55</v>
      </c>
      <c r="F27" s="15">
        <v>2020</v>
      </c>
      <c r="G27" s="16">
        <v>2052543</v>
      </c>
      <c r="H27" s="17">
        <v>103555000</v>
      </c>
      <c r="I27" s="17"/>
      <c r="J27" s="17"/>
      <c r="K27" s="17">
        <v>1348000</v>
      </c>
      <c r="L27" s="17">
        <v>1091000</v>
      </c>
      <c r="M27" s="17">
        <v>8171000</v>
      </c>
      <c r="N27" s="17">
        <v>17449000</v>
      </c>
      <c r="O27" s="17"/>
      <c r="P27" s="17">
        <v>3892000</v>
      </c>
      <c r="Q27" s="17"/>
      <c r="R27" s="17"/>
      <c r="S27" s="17">
        <v>80634000</v>
      </c>
      <c r="T27" s="17">
        <v>-37746000</v>
      </c>
      <c r="U27" s="17">
        <v>36202000</v>
      </c>
      <c r="V27" s="17">
        <v>603930000</v>
      </c>
      <c r="W27" s="18">
        <v>57611000</v>
      </c>
      <c r="X27" s="6" t="s">
        <v>32</v>
      </c>
      <c r="Y27" s="6" t="s">
        <v>56</v>
      </c>
      <c r="Z27" s="6" t="s">
        <v>34</v>
      </c>
      <c r="AA27" s="6" t="s">
        <v>35</v>
      </c>
    </row>
    <row r="28" spans="1:27" ht="12" customHeight="1">
      <c r="A28" s="14" t="s">
        <v>51</v>
      </c>
      <c r="B28" s="14" t="s">
        <v>52</v>
      </c>
      <c r="C28" s="14" t="s">
        <v>53</v>
      </c>
      <c r="D28" s="14" t="s">
        <v>54</v>
      </c>
      <c r="E28" s="14" t="s">
        <v>55</v>
      </c>
      <c r="F28" s="15">
        <v>2021</v>
      </c>
      <c r="G28" s="16">
        <v>3637287</v>
      </c>
      <c r="H28" s="17">
        <v>111623000</v>
      </c>
      <c r="I28" s="17"/>
      <c r="J28" s="17"/>
      <c r="K28" s="17">
        <v>2391000</v>
      </c>
      <c r="L28" s="17">
        <v>1698000</v>
      </c>
      <c r="M28" s="17">
        <v>9750000</v>
      </c>
      <c r="N28" s="17">
        <v>28876000</v>
      </c>
      <c r="O28" s="17"/>
      <c r="P28" s="17">
        <v>6855000</v>
      </c>
      <c r="Q28" s="17"/>
      <c r="R28" s="17"/>
      <c r="S28" s="17">
        <v>49568000</v>
      </c>
      <c r="T28" s="17">
        <v>901000</v>
      </c>
      <c r="U28" s="17">
        <v>25469000</v>
      </c>
      <c r="V28" s="17">
        <v>559680000</v>
      </c>
      <c r="W28" s="18">
        <v>46010000</v>
      </c>
      <c r="X28" s="6" t="s">
        <v>32</v>
      </c>
      <c r="Y28" s="6" t="s">
        <v>56</v>
      </c>
      <c r="Z28" s="6" t="s">
        <v>34</v>
      </c>
      <c r="AA28" s="6" t="s">
        <v>35</v>
      </c>
    </row>
    <row r="29" spans="1:27" ht="12" customHeight="1">
      <c r="A29" s="14" t="s">
        <v>51</v>
      </c>
      <c r="B29" s="14" t="s">
        <v>52</v>
      </c>
      <c r="C29" s="14" t="s">
        <v>53</v>
      </c>
      <c r="D29" s="14" t="s">
        <v>54</v>
      </c>
      <c r="E29" s="14" t="s">
        <v>55</v>
      </c>
      <c r="F29" s="15">
        <v>2022</v>
      </c>
      <c r="G29" s="16">
        <v>4291537</v>
      </c>
      <c r="H29" s="17">
        <v>118448000</v>
      </c>
      <c r="I29" s="17"/>
      <c r="J29" s="17"/>
      <c r="K29" s="17">
        <v>2982000</v>
      </c>
      <c r="L29" s="17">
        <v>2288000</v>
      </c>
      <c r="M29" s="17">
        <v>11952000</v>
      </c>
      <c r="N29" s="17">
        <v>40323000</v>
      </c>
      <c r="O29" s="17"/>
      <c r="P29" s="17">
        <v>6923000</v>
      </c>
      <c r="Q29" s="17"/>
      <c r="R29" s="17"/>
      <c r="S29" s="17">
        <v>71488000</v>
      </c>
      <c r="T29" s="17">
        <v>-9570000</v>
      </c>
      <c r="U29" s="17">
        <v>5492000</v>
      </c>
      <c r="V29" s="17">
        <v>487938000</v>
      </c>
      <c r="W29" s="18">
        <v>37612000</v>
      </c>
      <c r="X29" s="6" t="s">
        <v>32</v>
      </c>
      <c r="Y29" s="6" t="s">
        <v>56</v>
      </c>
      <c r="Z29" s="6" t="s">
        <v>34</v>
      </c>
      <c r="AA29" s="6" t="s">
        <v>35</v>
      </c>
    </row>
    <row r="30" spans="1:27" ht="12" customHeight="1">
      <c r="A30" s="14" t="s">
        <v>51</v>
      </c>
      <c r="B30" s="14" t="s">
        <v>52</v>
      </c>
      <c r="C30" s="14" t="s">
        <v>53</v>
      </c>
      <c r="D30" s="14" t="s">
        <v>54</v>
      </c>
      <c r="E30" s="14" t="s">
        <v>55</v>
      </c>
      <c r="F30" s="15">
        <v>2023</v>
      </c>
      <c r="G30" s="16">
        <v>4826717</v>
      </c>
      <c r="H30" s="17">
        <v>136102000</v>
      </c>
      <c r="I30" s="17"/>
      <c r="J30" s="17"/>
      <c r="K30" s="17">
        <v>3466000</v>
      </c>
      <c r="L30" s="17">
        <v>2539000</v>
      </c>
      <c r="M30" s="17">
        <v>13530000</v>
      </c>
      <c r="N30" s="17">
        <v>45276000</v>
      </c>
      <c r="O30" s="17"/>
      <c r="P30" s="17">
        <v>11934000</v>
      </c>
      <c r="Q30" s="17"/>
      <c r="R30" s="17"/>
      <c r="S30" s="17">
        <v>83699000</v>
      </c>
      <c r="T30" s="17">
        <v>-1576000</v>
      </c>
      <c r="U30" s="17">
        <v>8643000</v>
      </c>
      <c r="V30" s="17">
        <v>438789000</v>
      </c>
      <c r="W30" s="18">
        <v>44745000</v>
      </c>
      <c r="X30" s="6" t="s">
        <v>32</v>
      </c>
      <c r="Y30" s="6" t="s">
        <v>56</v>
      </c>
      <c r="Z30" s="6" t="s">
        <v>34</v>
      </c>
      <c r="AA30" s="6" t="s">
        <v>35</v>
      </c>
    </row>
    <row r="31" spans="1:27" ht="12" customHeight="1">
      <c r="A31" s="14" t="s">
        <v>51</v>
      </c>
      <c r="B31" s="14" t="s">
        <v>52</v>
      </c>
      <c r="C31" s="14" t="s">
        <v>53</v>
      </c>
      <c r="D31" s="14" t="s">
        <v>54</v>
      </c>
      <c r="E31" s="14" t="s">
        <v>55</v>
      </c>
      <c r="F31" s="15">
        <v>2024</v>
      </c>
      <c r="G31" s="16">
        <v>4953481</v>
      </c>
      <c r="H31" s="17">
        <v>144628000</v>
      </c>
      <c r="I31" s="17"/>
      <c r="J31" s="17"/>
      <c r="K31" s="17">
        <v>3564000</v>
      </c>
      <c r="L31" s="17">
        <v>2602000</v>
      </c>
      <c r="M31" s="17">
        <v>13686000</v>
      </c>
      <c r="N31" s="17">
        <v>50348000</v>
      </c>
      <c r="O31" s="17"/>
      <c r="P31" s="17">
        <v>11973000</v>
      </c>
      <c r="Q31" s="17"/>
      <c r="R31" s="17"/>
      <c r="S31" s="17">
        <v>98414000</v>
      </c>
      <c r="T31" s="17">
        <v>1192000</v>
      </c>
      <c r="U31" s="17">
        <v>11306000</v>
      </c>
      <c r="V31" s="17">
        <v>390051000</v>
      </c>
      <c r="W31" s="18">
        <v>46447000</v>
      </c>
      <c r="X31" s="6" t="s">
        <v>32</v>
      </c>
      <c r="Y31" s="6" t="s">
        <v>56</v>
      </c>
      <c r="Z31" s="6" t="s">
        <v>34</v>
      </c>
      <c r="AA31" s="6" t="s">
        <v>35</v>
      </c>
    </row>
    <row r="32" spans="1:27" ht="12" customHeight="1">
      <c r="A32" s="14" t="s">
        <v>57</v>
      </c>
      <c r="B32" s="14" t="s">
        <v>58</v>
      </c>
      <c r="C32" s="14" t="s">
        <v>59</v>
      </c>
      <c r="D32" s="14" t="s">
        <v>60</v>
      </c>
      <c r="E32" s="14" t="s">
        <v>31</v>
      </c>
      <c r="F32" s="15">
        <v>2019</v>
      </c>
      <c r="G32" s="16">
        <v>34512954</v>
      </c>
      <c r="H32" s="17">
        <v>867793000</v>
      </c>
      <c r="I32" s="17"/>
      <c r="J32" s="17"/>
      <c r="K32" s="17">
        <v>42848000</v>
      </c>
      <c r="L32" s="17">
        <v>19100000</v>
      </c>
      <c r="M32" s="17">
        <v>80348000</v>
      </c>
      <c r="N32" s="17">
        <v>223499000</v>
      </c>
      <c r="O32" s="17"/>
      <c r="P32" s="17">
        <v>17530000</v>
      </c>
      <c r="Q32" s="17"/>
      <c r="R32" s="17"/>
      <c r="S32" s="17">
        <v>584472000</v>
      </c>
      <c r="T32" s="17">
        <v>80000000</v>
      </c>
      <c r="U32" s="17">
        <v>614360000</v>
      </c>
      <c r="V32" s="17">
        <v>6171294000</v>
      </c>
      <c r="W32" s="18">
        <v>354180000</v>
      </c>
      <c r="X32" s="6" t="s">
        <v>32</v>
      </c>
      <c r="Y32" s="6" t="s">
        <v>61</v>
      </c>
      <c r="Z32" s="6" t="s">
        <v>62</v>
      </c>
      <c r="AA32" s="6" t="s">
        <v>63</v>
      </c>
    </row>
    <row r="33" spans="1:27" ht="12" customHeight="1">
      <c r="A33" s="14" t="s">
        <v>57</v>
      </c>
      <c r="B33" s="14" t="s">
        <v>58</v>
      </c>
      <c r="C33" s="14" t="s">
        <v>59</v>
      </c>
      <c r="D33" s="14" t="s">
        <v>60</v>
      </c>
      <c r="E33" s="14" t="s">
        <v>31</v>
      </c>
      <c r="F33" s="15">
        <v>2020</v>
      </c>
      <c r="G33" s="16">
        <v>16873843</v>
      </c>
      <c r="H33" s="17">
        <v>591809000</v>
      </c>
      <c r="I33" s="17"/>
      <c r="J33" s="17"/>
      <c r="K33" s="17">
        <v>20192000</v>
      </c>
      <c r="L33" s="17">
        <v>9148000</v>
      </c>
      <c r="M33" s="17">
        <v>45993000</v>
      </c>
      <c r="N33" s="17">
        <v>96834000</v>
      </c>
      <c r="O33" s="17"/>
      <c r="P33" s="17">
        <v>12509000</v>
      </c>
      <c r="Q33" s="17"/>
      <c r="R33" s="17"/>
      <c r="S33" s="17">
        <v>475901000</v>
      </c>
      <c r="T33" s="17">
        <v>-94605000</v>
      </c>
      <c r="U33" s="17">
        <v>865794000</v>
      </c>
      <c r="V33" s="17">
        <v>5930345000</v>
      </c>
      <c r="W33" s="18">
        <v>328108000</v>
      </c>
      <c r="X33" s="6" t="s">
        <v>32</v>
      </c>
      <c r="Y33" s="6" t="s">
        <v>61</v>
      </c>
      <c r="Z33" s="6" t="s">
        <v>62</v>
      </c>
      <c r="AA33" s="6" t="s">
        <v>63</v>
      </c>
    </row>
    <row r="34" spans="1:27" ht="12" customHeight="1">
      <c r="A34" s="14" t="s">
        <v>57</v>
      </c>
      <c r="B34" s="14" t="s">
        <v>58</v>
      </c>
      <c r="C34" s="14" t="s">
        <v>59</v>
      </c>
      <c r="D34" s="14" t="s">
        <v>60</v>
      </c>
      <c r="E34" s="14" t="s">
        <v>31</v>
      </c>
      <c r="F34" s="15">
        <v>2021</v>
      </c>
      <c r="G34" s="16">
        <v>29417882</v>
      </c>
      <c r="H34" s="17">
        <v>716397000</v>
      </c>
      <c r="I34" s="17"/>
      <c r="J34" s="17"/>
      <c r="K34" s="17">
        <v>34041000</v>
      </c>
      <c r="L34" s="17">
        <v>14632000</v>
      </c>
      <c r="M34" s="17">
        <v>75703000</v>
      </c>
      <c r="N34" s="17">
        <v>161657000</v>
      </c>
      <c r="O34" s="17"/>
      <c r="P34" s="17">
        <v>16507000</v>
      </c>
      <c r="Q34" s="17"/>
      <c r="R34" s="17"/>
      <c r="S34" s="17">
        <v>461412000</v>
      </c>
      <c r="T34" s="17">
        <v>28132000</v>
      </c>
      <c r="U34" s="17">
        <v>1733521000</v>
      </c>
      <c r="V34" s="17">
        <v>6344198000</v>
      </c>
      <c r="W34" s="18">
        <v>308405000</v>
      </c>
      <c r="X34" s="6" t="s">
        <v>32</v>
      </c>
      <c r="Y34" s="6" t="s">
        <v>61</v>
      </c>
      <c r="Z34" s="6" t="s">
        <v>62</v>
      </c>
      <c r="AA34" s="6" t="s">
        <v>63</v>
      </c>
    </row>
    <row r="35" spans="1:27" ht="12" customHeight="1">
      <c r="A35" s="14" t="s">
        <v>57</v>
      </c>
      <c r="B35" s="14" t="s">
        <v>58</v>
      </c>
      <c r="C35" s="14" t="s">
        <v>59</v>
      </c>
      <c r="D35" s="14" t="s">
        <v>60</v>
      </c>
      <c r="E35" s="14" t="s">
        <v>31</v>
      </c>
      <c r="F35" s="15">
        <v>2022</v>
      </c>
      <c r="G35" s="16">
        <v>34642858</v>
      </c>
      <c r="H35" s="17">
        <v>930185000</v>
      </c>
      <c r="I35" s="17"/>
      <c r="J35" s="17"/>
      <c r="K35" s="17">
        <v>44574000</v>
      </c>
      <c r="L35" s="17">
        <v>22831000</v>
      </c>
      <c r="M35" s="17">
        <v>88326000</v>
      </c>
      <c r="N35" s="17">
        <v>226190000</v>
      </c>
      <c r="O35" s="17"/>
      <c r="P35" s="17">
        <v>30042000</v>
      </c>
      <c r="Q35" s="17"/>
      <c r="R35" s="17"/>
      <c r="S35" s="17">
        <v>542556000</v>
      </c>
      <c r="T35" s="17">
        <v>113444000</v>
      </c>
      <c r="U35" s="17">
        <v>554660000</v>
      </c>
      <c r="V35" s="17">
        <v>8008676000</v>
      </c>
      <c r="W35" s="18">
        <v>363188000</v>
      </c>
      <c r="X35" s="6" t="s">
        <v>32</v>
      </c>
      <c r="Y35" s="6" t="s">
        <v>61</v>
      </c>
      <c r="Z35" s="6" t="s">
        <v>62</v>
      </c>
      <c r="AA35" s="6" t="s">
        <v>63</v>
      </c>
    </row>
    <row r="36" spans="1:27" ht="12" customHeight="1">
      <c r="A36" s="14" t="s">
        <v>57</v>
      </c>
      <c r="B36" s="14" t="s">
        <v>58</v>
      </c>
      <c r="C36" s="14" t="s">
        <v>59</v>
      </c>
      <c r="D36" s="14" t="s">
        <v>60</v>
      </c>
      <c r="E36" s="14" t="s">
        <v>31</v>
      </c>
      <c r="F36" s="15">
        <v>2023</v>
      </c>
      <c r="G36" s="16">
        <v>38898467</v>
      </c>
      <c r="H36" s="17">
        <v>1022065000</v>
      </c>
      <c r="I36" s="17"/>
      <c r="J36" s="17"/>
      <c r="K36" s="17">
        <v>38133000</v>
      </c>
      <c r="L36" s="17">
        <v>20572000</v>
      </c>
      <c r="M36" s="17">
        <v>95270000</v>
      </c>
      <c r="N36" s="17">
        <v>254066000</v>
      </c>
      <c r="O36" s="17"/>
      <c r="P36" s="17">
        <v>30761000</v>
      </c>
      <c r="Q36" s="17"/>
      <c r="R36" s="17"/>
      <c r="S36" s="17">
        <v>578715000</v>
      </c>
      <c r="T36" s="17">
        <v>114063000</v>
      </c>
      <c r="U36" s="17">
        <v>724269000</v>
      </c>
      <c r="V36" s="17">
        <v>7693204000</v>
      </c>
      <c r="W36" s="18">
        <v>420862000</v>
      </c>
      <c r="X36" s="6" t="s">
        <v>32</v>
      </c>
      <c r="Y36" s="6" t="s">
        <v>61</v>
      </c>
      <c r="Z36" s="6" t="s">
        <v>62</v>
      </c>
      <c r="AA36" s="6" t="s">
        <v>63</v>
      </c>
    </row>
    <row r="37" spans="1:27" ht="12" customHeight="1">
      <c r="A37" s="14" t="s">
        <v>57</v>
      </c>
      <c r="B37" s="14" t="s">
        <v>58</v>
      </c>
      <c r="C37" s="14" t="s">
        <v>59</v>
      </c>
      <c r="D37" s="14" t="s">
        <v>60</v>
      </c>
      <c r="E37" s="14" t="s">
        <v>31</v>
      </c>
      <c r="F37" s="15">
        <v>2024</v>
      </c>
      <c r="G37" s="16">
        <v>41146001</v>
      </c>
      <c r="H37" s="17">
        <v>1180701000</v>
      </c>
      <c r="I37" s="17"/>
      <c r="J37" s="17"/>
      <c r="K37" s="17">
        <v>57532000</v>
      </c>
      <c r="L37" s="17">
        <v>28581000</v>
      </c>
      <c r="M37" s="17">
        <v>95945000</v>
      </c>
      <c r="N37" s="17">
        <v>255981000</v>
      </c>
      <c r="O37" s="17"/>
      <c r="P37" s="17">
        <v>43432000</v>
      </c>
      <c r="Q37" s="17"/>
      <c r="R37" s="17"/>
      <c r="S37" s="17">
        <v>651989000</v>
      </c>
      <c r="T37" s="17">
        <v>168410000</v>
      </c>
      <c r="U37" s="17">
        <v>773527000</v>
      </c>
      <c r="V37" s="17">
        <v>7361526000</v>
      </c>
      <c r="W37" s="18">
        <v>525210000</v>
      </c>
      <c r="X37" s="6" t="s">
        <v>32</v>
      </c>
      <c r="Y37" s="6" t="s">
        <v>61</v>
      </c>
      <c r="Z37" s="6" t="s">
        <v>62</v>
      </c>
      <c r="AA37" s="6" t="s">
        <v>63</v>
      </c>
    </row>
    <row r="38" spans="1:27" ht="12" customHeight="1">
      <c r="A38" s="14" t="s">
        <v>64</v>
      </c>
      <c r="B38" s="14" t="s">
        <v>65</v>
      </c>
      <c r="C38" s="14" t="s">
        <v>66</v>
      </c>
      <c r="D38" s="14" t="s">
        <v>67</v>
      </c>
      <c r="E38" s="14" t="s">
        <v>31</v>
      </c>
      <c r="F38" s="15">
        <v>2019</v>
      </c>
      <c r="G38" s="16">
        <v>42248370</v>
      </c>
      <c r="H38" s="17">
        <v>1253486000</v>
      </c>
      <c r="I38" s="17"/>
      <c r="J38" s="17"/>
      <c r="K38" s="17">
        <v>61690000</v>
      </c>
      <c r="L38" s="17">
        <v>52645000</v>
      </c>
      <c r="M38" s="17">
        <v>40703000</v>
      </c>
      <c r="N38" s="17">
        <v>108237000</v>
      </c>
      <c r="O38" s="17"/>
      <c r="P38" s="17">
        <v>4079000</v>
      </c>
      <c r="Q38" s="17"/>
      <c r="R38" s="17"/>
      <c r="S38" s="17">
        <v>842584000</v>
      </c>
      <c r="T38" s="17">
        <v>85748000</v>
      </c>
      <c r="U38" s="17">
        <v>810272000</v>
      </c>
      <c r="V38" s="17">
        <v>10330720000</v>
      </c>
      <c r="W38" s="18">
        <v>856369000</v>
      </c>
      <c r="X38" s="6" t="s">
        <v>32</v>
      </c>
      <c r="Y38" s="6" t="s">
        <v>68</v>
      </c>
      <c r="Z38" s="6" t="s">
        <v>62</v>
      </c>
      <c r="AA38" s="6" t="s">
        <v>63</v>
      </c>
    </row>
    <row r="39" spans="1:27" ht="12" customHeight="1">
      <c r="A39" s="14" t="s">
        <v>64</v>
      </c>
      <c r="B39" s="14" t="s">
        <v>65</v>
      </c>
      <c r="C39" s="14" t="s">
        <v>66</v>
      </c>
      <c r="D39" s="14" t="s">
        <v>67</v>
      </c>
      <c r="E39" s="14" t="s">
        <v>31</v>
      </c>
      <c r="F39" s="15">
        <v>2020</v>
      </c>
      <c r="G39" s="16">
        <v>15351046</v>
      </c>
      <c r="H39" s="17">
        <v>905613000</v>
      </c>
      <c r="I39" s="17"/>
      <c r="J39" s="17"/>
      <c r="K39" s="17">
        <v>28819000</v>
      </c>
      <c r="L39" s="17">
        <v>47162000</v>
      </c>
      <c r="M39" s="17">
        <v>32647000</v>
      </c>
      <c r="N39" s="17">
        <v>45075000</v>
      </c>
      <c r="O39" s="17"/>
      <c r="P39" s="17">
        <v>4033000</v>
      </c>
      <c r="Q39" s="17"/>
      <c r="R39" s="17"/>
      <c r="S39" s="17">
        <v>691725000</v>
      </c>
      <c r="T39" s="17">
        <v>-78324000</v>
      </c>
      <c r="U39" s="17">
        <v>899470000</v>
      </c>
      <c r="V39" s="17">
        <v>10035505000</v>
      </c>
      <c r="W39" s="18">
        <v>665666000</v>
      </c>
      <c r="X39" s="6" t="s">
        <v>32</v>
      </c>
      <c r="Y39" s="6" t="s">
        <v>68</v>
      </c>
      <c r="Z39" s="6" t="s">
        <v>62</v>
      </c>
      <c r="AA39" s="6" t="s">
        <v>63</v>
      </c>
    </row>
    <row r="40" spans="1:27" ht="12" customHeight="1">
      <c r="A40" s="14" t="s">
        <v>64</v>
      </c>
      <c r="B40" s="14" t="s">
        <v>65</v>
      </c>
      <c r="C40" s="14" t="s">
        <v>66</v>
      </c>
      <c r="D40" s="14" t="s">
        <v>67</v>
      </c>
      <c r="E40" s="14" t="s">
        <v>31</v>
      </c>
      <c r="F40" s="15">
        <v>2021</v>
      </c>
      <c r="G40" s="16">
        <v>26945359</v>
      </c>
      <c r="H40" s="17">
        <v>1145152000</v>
      </c>
      <c r="I40" s="17"/>
      <c r="J40" s="17"/>
      <c r="K40" s="17">
        <v>34330000</v>
      </c>
      <c r="L40" s="17">
        <v>27636000</v>
      </c>
      <c r="M40" s="17">
        <v>52065000</v>
      </c>
      <c r="N40" s="17">
        <v>79014000</v>
      </c>
      <c r="O40" s="17"/>
      <c r="P40" s="17">
        <v>4128000</v>
      </c>
      <c r="Q40" s="17"/>
      <c r="R40" s="17"/>
      <c r="S40" s="17">
        <v>772932000</v>
      </c>
      <c r="T40" s="17">
        <v>53345000</v>
      </c>
      <c r="U40" s="17">
        <v>775444000</v>
      </c>
      <c r="V40" s="17">
        <v>9884537000</v>
      </c>
      <c r="W40" s="18">
        <v>852956000</v>
      </c>
      <c r="X40" s="6" t="s">
        <v>32</v>
      </c>
      <c r="Y40" s="6" t="s">
        <v>68</v>
      </c>
      <c r="Z40" s="6" t="s">
        <v>62</v>
      </c>
      <c r="AA40" s="6" t="s">
        <v>63</v>
      </c>
    </row>
    <row r="41" spans="1:27" ht="12" customHeight="1">
      <c r="A41" s="14" t="s">
        <v>64</v>
      </c>
      <c r="B41" s="14" t="s">
        <v>65</v>
      </c>
      <c r="C41" s="14" t="s">
        <v>66</v>
      </c>
      <c r="D41" s="14" t="s">
        <v>67</v>
      </c>
      <c r="E41" s="14" t="s">
        <v>31</v>
      </c>
      <c r="F41" s="15">
        <v>2022</v>
      </c>
      <c r="G41" s="16">
        <v>34095710</v>
      </c>
      <c r="H41" s="17">
        <v>1259433000</v>
      </c>
      <c r="I41" s="17"/>
      <c r="J41" s="17"/>
      <c r="K41" s="17">
        <v>50655000</v>
      </c>
      <c r="L41" s="17">
        <v>44278000</v>
      </c>
      <c r="M41" s="17">
        <v>41223000</v>
      </c>
      <c r="N41" s="17">
        <v>114989000</v>
      </c>
      <c r="O41" s="17"/>
      <c r="P41" s="17">
        <v>3804000</v>
      </c>
      <c r="Q41" s="17"/>
      <c r="R41" s="17"/>
      <c r="S41" s="17">
        <v>890369000</v>
      </c>
      <c r="T41" s="17">
        <v>-6282000</v>
      </c>
      <c r="U41" s="17">
        <v>703242000</v>
      </c>
      <c r="V41" s="17">
        <v>10884262000</v>
      </c>
      <c r="W41" s="18">
        <v>885909000</v>
      </c>
      <c r="X41" s="6" t="s">
        <v>32</v>
      </c>
      <c r="Y41" s="6" t="s">
        <v>68</v>
      </c>
      <c r="Z41" s="6" t="s">
        <v>62</v>
      </c>
      <c r="AA41" s="6" t="s">
        <v>63</v>
      </c>
    </row>
    <row r="42" spans="1:27" ht="12" customHeight="1">
      <c r="A42" s="14" t="s">
        <v>64</v>
      </c>
      <c r="B42" s="14" t="s">
        <v>65</v>
      </c>
      <c r="C42" s="14" t="s">
        <v>66</v>
      </c>
      <c r="D42" s="14" t="s">
        <v>67</v>
      </c>
      <c r="E42" s="14" t="s">
        <v>31</v>
      </c>
      <c r="F42" s="15">
        <v>2023</v>
      </c>
      <c r="G42" s="16">
        <v>36597770</v>
      </c>
      <c r="H42" s="17">
        <v>1427751000</v>
      </c>
      <c r="I42" s="17"/>
      <c r="J42" s="17"/>
      <c r="K42" s="17">
        <v>56135000</v>
      </c>
      <c r="L42" s="17">
        <v>59721000</v>
      </c>
      <c r="M42" s="17">
        <v>38712000</v>
      </c>
      <c r="N42" s="17">
        <v>123156000</v>
      </c>
      <c r="O42" s="17"/>
      <c r="P42" s="17">
        <v>4563000</v>
      </c>
      <c r="Q42" s="17"/>
      <c r="R42" s="17"/>
      <c r="S42" s="17">
        <v>975544000</v>
      </c>
      <c r="T42" s="17">
        <v>56856000</v>
      </c>
      <c r="U42" s="17">
        <v>608455000</v>
      </c>
      <c r="V42" s="17">
        <v>10545449000</v>
      </c>
      <c r="W42" s="18">
        <v>1019960000</v>
      </c>
      <c r="X42" s="6" t="s">
        <v>32</v>
      </c>
      <c r="Y42" s="6" t="s">
        <v>68</v>
      </c>
      <c r="Z42" s="6" t="s">
        <v>62</v>
      </c>
      <c r="AA42" s="6" t="s">
        <v>63</v>
      </c>
    </row>
    <row r="43" spans="1:27" ht="12" customHeight="1">
      <c r="A43" s="14" t="s">
        <v>64</v>
      </c>
      <c r="B43" s="14" t="s">
        <v>65</v>
      </c>
      <c r="C43" s="14" t="s">
        <v>66</v>
      </c>
      <c r="D43" s="14" t="s">
        <v>67</v>
      </c>
      <c r="E43" s="14" t="s">
        <v>31</v>
      </c>
      <c r="F43" s="15">
        <v>2024</v>
      </c>
      <c r="G43" s="16">
        <v>39983139</v>
      </c>
      <c r="H43" s="17">
        <v>1612991000</v>
      </c>
      <c r="I43" s="17"/>
      <c r="J43" s="17"/>
      <c r="K43" s="17">
        <v>61731000</v>
      </c>
      <c r="L43" s="17">
        <v>54920000</v>
      </c>
      <c r="M43" s="17">
        <v>46107000</v>
      </c>
      <c r="N43" s="17">
        <v>126200000</v>
      </c>
      <c r="O43" s="17"/>
      <c r="P43" s="17">
        <v>4371000</v>
      </c>
      <c r="Q43" s="17"/>
      <c r="R43" s="17"/>
      <c r="S43" s="17">
        <v>959399000</v>
      </c>
      <c r="T43" s="17">
        <v>226804000</v>
      </c>
      <c r="U43" s="17">
        <v>633671000</v>
      </c>
      <c r="V43" s="17">
        <v>11136003000</v>
      </c>
      <c r="W43" s="18">
        <v>1181862000</v>
      </c>
      <c r="X43" s="6" t="s">
        <v>32</v>
      </c>
      <c r="Y43" s="6" t="s">
        <v>68</v>
      </c>
      <c r="Z43" s="6" t="s">
        <v>62</v>
      </c>
      <c r="AA43" s="6" t="s">
        <v>63</v>
      </c>
    </row>
    <row r="44" spans="1:27" ht="12" customHeight="1">
      <c r="A44" s="14" t="s">
        <v>69</v>
      </c>
      <c r="B44" s="14" t="s">
        <v>70</v>
      </c>
      <c r="C44" s="14" t="s">
        <v>71</v>
      </c>
      <c r="D44" s="14" t="s">
        <v>72</v>
      </c>
      <c r="E44" s="14" t="s">
        <v>31</v>
      </c>
      <c r="F44" s="15">
        <v>2019</v>
      </c>
      <c r="G44" s="16">
        <v>25223715</v>
      </c>
      <c r="H44" s="17">
        <v>537781000</v>
      </c>
      <c r="I44" s="17"/>
      <c r="J44" s="17"/>
      <c r="K44" s="17">
        <v>28565000</v>
      </c>
      <c r="L44" s="17">
        <v>30567000</v>
      </c>
      <c r="M44" s="17">
        <v>42351000</v>
      </c>
      <c r="N44" s="17">
        <v>71893000</v>
      </c>
      <c r="O44" s="17"/>
      <c r="P44" s="17">
        <v>54095000</v>
      </c>
      <c r="Q44" s="17"/>
      <c r="R44" s="17"/>
      <c r="S44" s="17">
        <v>271118000</v>
      </c>
      <c r="T44" s="17">
        <v>76584000</v>
      </c>
      <c r="U44" s="17">
        <v>61409000</v>
      </c>
      <c r="V44" s="17">
        <v>3751690000</v>
      </c>
      <c r="W44" s="18">
        <v>253718000</v>
      </c>
      <c r="X44" s="6" t="s">
        <v>32</v>
      </c>
      <c r="Y44" s="6" t="s">
        <v>73</v>
      </c>
      <c r="Z44" s="6" t="s">
        <v>62</v>
      </c>
      <c r="AA44" s="6" t="s">
        <v>63</v>
      </c>
    </row>
    <row r="45" spans="1:27" ht="12" customHeight="1">
      <c r="A45" s="14" t="s">
        <v>69</v>
      </c>
      <c r="B45" s="14" t="s">
        <v>70</v>
      </c>
      <c r="C45" s="14" t="s">
        <v>71</v>
      </c>
      <c r="D45" s="14" t="s">
        <v>72</v>
      </c>
      <c r="E45" s="14" t="s">
        <v>31</v>
      </c>
      <c r="F45" s="15">
        <v>2020</v>
      </c>
      <c r="G45" s="16">
        <v>19040295</v>
      </c>
      <c r="H45" s="17">
        <v>475703000</v>
      </c>
      <c r="I45" s="17"/>
      <c r="J45" s="17"/>
      <c r="K45" s="17">
        <v>21111000</v>
      </c>
      <c r="L45" s="17">
        <v>22808000</v>
      </c>
      <c r="M45" s="17">
        <v>33879000</v>
      </c>
      <c r="N45" s="17">
        <v>59169000</v>
      </c>
      <c r="O45" s="17"/>
      <c r="P45" s="17">
        <v>43673000</v>
      </c>
      <c r="Q45" s="17"/>
      <c r="R45" s="17"/>
      <c r="S45" s="17">
        <v>278542000</v>
      </c>
      <c r="T45" s="17">
        <v>7324000</v>
      </c>
      <c r="U45" s="17">
        <v>72540000</v>
      </c>
      <c r="V45" s="17">
        <v>3239535000</v>
      </c>
      <c r="W45" s="18">
        <v>243503000</v>
      </c>
      <c r="X45" s="6" t="s">
        <v>32</v>
      </c>
      <c r="Y45" s="6" t="s">
        <v>73</v>
      </c>
      <c r="Z45" s="6" t="s">
        <v>62</v>
      </c>
      <c r="AA45" s="6" t="s">
        <v>63</v>
      </c>
    </row>
    <row r="46" spans="1:27" ht="12" customHeight="1">
      <c r="A46" s="14" t="s">
        <v>69</v>
      </c>
      <c r="B46" s="14" t="s">
        <v>70</v>
      </c>
      <c r="C46" s="14" t="s">
        <v>71</v>
      </c>
      <c r="D46" s="14" t="s">
        <v>72</v>
      </c>
      <c r="E46" s="14" t="s">
        <v>31</v>
      </c>
      <c r="F46" s="15">
        <v>2021</v>
      </c>
      <c r="G46" s="16">
        <v>13187187</v>
      </c>
      <c r="H46" s="17">
        <v>397585000</v>
      </c>
      <c r="I46" s="17"/>
      <c r="J46" s="17"/>
      <c r="K46" s="17">
        <v>12504000</v>
      </c>
      <c r="L46" s="17">
        <v>13302000</v>
      </c>
      <c r="M46" s="17">
        <v>30806000</v>
      </c>
      <c r="N46" s="17">
        <v>46524000</v>
      </c>
      <c r="O46" s="17"/>
      <c r="P46" s="17">
        <v>28847000</v>
      </c>
      <c r="Q46" s="17"/>
      <c r="R46" s="17"/>
      <c r="S46" s="17">
        <v>226541000</v>
      </c>
      <c r="T46" s="17">
        <v>-20137000</v>
      </c>
      <c r="U46" s="17">
        <v>43315000</v>
      </c>
      <c r="V46" s="17">
        <v>3019895000</v>
      </c>
      <c r="W46" s="18">
        <v>220377000</v>
      </c>
      <c r="X46" s="6" t="s">
        <v>32</v>
      </c>
      <c r="Y46" s="6" t="s">
        <v>73</v>
      </c>
      <c r="Z46" s="6" t="s">
        <v>62</v>
      </c>
      <c r="AA46" s="6" t="s">
        <v>63</v>
      </c>
    </row>
    <row r="47" spans="1:27" ht="12" customHeight="1">
      <c r="A47" s="14" t="s">
        <v>69</v>
      </c>
      <c r="B47" s="14" t="s">
        <v>70</v>
      </c>
      <c r="C47" s="14" t="s">
        <v>71</v>
      </c>
      <c r="D47" s="14" t="s">
        <v>72</v>
      </c>
      <c r="E47" s="14" t="s">
        <v>31</v>
      </c>
      <c r="F47" s="15">
        <v>2022</v>
      </c>
      <c r="G47" s="16">
        <v>24025401</v>
      </c>
      <c r="H47" s="17">
        <v>487722000</v>
      </c>
      <c r="I47" s="17"/>
      <c r="J47" s="17"/>
      <c r="K47" s="17">
        <v>27693000</v>
      </c>
      <c r="L47" s="17">
        <v>27781000</v>
      </c>
      <c r="M47" s="17">
        <v>50080000</v>
      </c>
      <c r="N47" s="17">
        <v>83159000</v>
      </c>
      <c r="O47" s="17"/>
      <c r="P47" s="17">
        <v>72774000</v>
      </c>
      <c r="Q47" s="17"/>
      <c r="R47" s="17"/>
      <c r="S47" s="17">
        <v>216244000</v>
      </c>
      <c r="T47" s="17">
        <v>75340000</v>
      </c>
      <c r="U47" s="17">
        <v>151422000</v>
      </c>
      <c r="V47" s="17">
        <v>2779475000</v>
      </c>
      <c r="W47" s="18">
        <v>170249000</v>
      </c>
      <c r="X47" s="6" t="s">
        <v>32</v>
      </c>
      <c r="Y47" s="6" t="s">
        <v>73</v>
      </c>
      <c r="Z47" s="6" t="s">
        <v>62</v>
      </c>
      <c r="AA47" s="6" t="s">
        <v>63</v>
      </c>
    </row>
    <row r="48" spans="1:27" ht="12" customHeight="1">
      <c r="A48" s="14" t="s">
        <v>69</v>
      </c>
      <c r="B48" s="14" t="s">
        <v>70</v>
      </c>
      <c r="C48" s="14" t="s">
        <v>71</v>
      </c>
      <c r="D48" s="14" t="s">
        <v>72</v>
      </c>
      <c r="E48" s="14" t="s">
        <v>31</v>
      </c>
      <c r="F48" s="15">
        <v>2023</v>
      </c>
      <c r="G48" s="16">
        <v>28276384</v>
      </c>
      <c r="H48" s="17">
        <v>560700000</v>
      </c>
      <c r="I48" s="17"/>
      <c r="J48" s="17"/>
      <c r="K48" s="17">
        <v>29543000</v>
      </c>
      <c r="L48" s="17">
        <v>29658000</v>
      </c>
      <c r="M48" s="17">
        <v>54253000</v>
      </c>
      <c r="N48" s="17">
        <v>100241000</v>
      </c>
      <c r="O48" s="17"/>
      <c r="P48" s="17">
        <v>84749000</v>
      </c>
      <c r="Q48" s="17"/>
      <c r="R48" s="17"/>
      <c r="S48" s="17">
        <v>296087000</v>
      </c>
      <c r="T48" s="17">
        <v>71205000</v>
      </c>
      <c r="U48" s="17">
        <v>68674000</v>
      </c>
      <c r="V48" s="17">
        <v>2440045000</v>
      </c>
      <c r="W48" s="18">
        <v>202647000</v>
      </c>
      <c r="X48" s="6" t="s">
        <v>32</v>
      </c>
      <c r="Y48" s="6" t="s">
        <v>73</v>
      </c>
      <c r="Z48" s="6" t="s">
        <v>62</v>
      </c>
      <c r="AA48" s="6" t="s">
        <v>63</v>
      </c>
    </row>
    <row r="49" spans="1:27" ht="12" customHeight="1">
      <c r="A49" s="14" t="s">
        <v>69</v>
      </c>
      <c r="B49" s="14" t="s">
        <v>70</v>
      </c>
      <c r="C49" s="14" t="s">
        <v>71</v>
      </c>
      <c r="D49" s="14" t="s">
        <v>72</v>
      </c>
      <c r="E49" s="14" t="s">
        <v>31</v>
      </c>
      <c r="F49" s="15">
        <v>2024</v>
      </c>
      <c r="G49" s="16">
        <v>29145881</v>
      </c>
      <c r="H49" s="17">
        <v>549697000</v>
      </c>
      <c r="I49" s="17"/>
      <c r="J49" s="17"/>
      <c r="K49" s="17">
        <v>37858000</v>
      </c>
      <c r="L49" s="17">
        <v>37084000</v>
      </c>
      <c r="M49" s="17">
        <v>53239000</v>
      </c>
      <c r="N49" s="17">
        <v>105644000</v>
      </c>
      <c r="O49" s="17"/>
      <c r="P49" s="17">
        <v>94997000</v>
      </c>
      <c r="Q49" s="17"/>
      <c r="R49" s="17"/>
      <c r="S49" s="17">
        <v>326789000</v>
      </c>
      <c r="T49" s="17">
        <v>31848000</v>
      </c>
      <c r="U49" s="17">
        <v>511090000</v>
      </c>
      <c r="V49" s="17">
        <v>2408090000</v>
      </c>
      <c r="W49" s="18">
        <v>156323000</v>
      </c>
      <c r="X49" s="6" t="s">
        <v>32</v>
      </c>
      <c r="Y49" s="6" t="s">
        <v>73</v>
      </c>
      <c r="Z49" s="6" t="s">
        <v>62</v>
      </c>
      <c r="AA49" s="6" t="s">
        <v>63</v>
      </c>
    </row>
    <row r="50" spans="1:27" ht="12" customHeight="1">
      <c r="A50" s="14" t="s">
        <v>74</v>
      </c>
      <c r="B50" s="14" t="s">
        <v>75</v>
      </c>
      <c r="C50" s="14" t="s">
        <v>76</v>
      </c>
      <c r="D50" s="14" t="s">
        <v>77</v>
      </c>
      <c r="E50" s="14" t="s">
        <v>31</v>
      </c>
      <c r="F50" s="15">
        <v>2019</v>
      </c>
      <c r="G50" s="16">
        <v>22831945</v>
      </c>
      <c r="H50" s="17">
        <v>429013000</v>
      </c>
      <c r="I50" s="17"/>
      <c r="J50" s="17"/>
      <c r="K50" s="17">
        <v>22986000</v>
      </c>
      <c r="L50" s="17">
        <v>12625000</v>
      </c>
      <c r="M50" s="17">
        <v>50731000</v>
      </c>
      <c r="N50" s="17">
        <v>100114000</v>
      </c>
      <c r="O50" s="17"/>
      <c r="P50" s="17">
        <v>1000</v>
      </c>
      <c r="Q50" s="17"/>
      <c r="R50" s="17"/>
      <c r="S50" s="17">
        <v>287282000</v>
      </c>
      <c r="T50" s="17">
        <v>-20535000</v>
      </c>
      <c r="U50" s="17">
        <v>337107000</v>
      </c>
      <c r="V50" s="17">
        <v>1668770000</v>
      </c>
      <c r="W50" s="18">
        <v>145469000</v>
      </c>
      <c r="X50" s="6" t="s">
        <v>32</v>
      </c>
      <c r="Y50" s="6" t="s">
        <v>78</v>
      </c>
      <c r="Z50" s="6" t="s">
        <v>62</v>
      </c>
      <c r="AA50" s="6" t="s">
        <v>63</v>
      </c>
    </row>
    <row r="51" spans="1:27" ht="12" customHeight="1">
      <c r="A51" s="14" t="s">
        <v>74</v>
      </c>
      <c r="B51" s="14" t="s">
        <v>75</v>
      </c>
      <c r="C51" s="14" t="s">
        <v>76</v>
      </c>
      <c r="D51" s="14" t="s">
        <v>77</v>
      </c>
      <c r="E51" s="14" t="s">
        <v>31</v>
      </c>
      <c r="F51" s="15">
        <v>2020</v>
      </c>
      <c r="G51" s="16">
        <v>17337118</v>
      </c>
      <c r="H51" s="17">
        <v>379224000</v>
      </c>
      <c r="I51" s="17"/>
      <c r="J51" s="17"/>
      <c r="K51" s="17">
        <v>18382000</v>
      </c>
      <c r="L51" s="17">
        <v>10829000</v>
      </c>
      <c r="M51" s="17">
        <v>42163000</v>
      </c>
      <c r="N51" s="17">
        <v>77577000</v>
      </c>
      <c r="O51" s="17"/>
      <c r="P51" s="17">
        <v>0</v>
      </c>
      <c r="Q51" s="17"/>
      <c r="R51" s="17"/>
      <c r="S51" s="17">
        <v>284430000</v>
      </c>
      <c r="T51" s="17">
        <v>-77131000</v>
      </c>
      <c r="U51" s="17">
        <v>419213000</v>
      </c>
      <c r="V51" s="17">
        <v>2393275000</v>
      </c>
      <c r="W51" s="18">
        <v>145785000</v>
      </c>
      <c r="X51" s="6" t="s">
        <v>32</v>
      </c>
      <c r="Y51" s="6" t="s">
        <v>78</v>
      </c>
      <c r="Z51" s="6" t="s">
        <v>62</v>
      </c>
      <c r="AA51" s="6" t="s">
        <v>63</v>
      </c>
    </row>
    <row r="52" spans="1:27" ht="12" customHeight="1">
      <c r="A52" s="14" t="s">
        <v>74</v>
      </c>
      <c r="B52" s="14" t="s">
        <v>75</v>
      </c>
      <c r="C52" s="14" t="s">
        <v>76</v>
      </c>
      <c r="D52" s="14" t="s">
        <v>77</v>
      </c>
      <c r="E52" s="14" t="s">
        <v>31</v>
      </c>
      <c r="F52" s="15">
        <v>2021</v>
      </c>
      <c r="G52" s="16">
        <v>13442029</v>
      </c>
      <c r="H52" s="17">
        <v>317179000</v>
      </c>
      <c r="I52" s="17"/>
      <c r="J52" s="17"/>
      <c r="K52" s="17">
        <v>12118000</v>
      </c>
      <c r="L52" s="17">
        <v>8932000</v>
      </c>
      <c r="M52" s="17">
        <v>40549000</v>
      </c>
      <c r="N52" s="17">
        <v>60274000</v>
      </c>
      <c r="O52" s="17"/>
      <c r="P52" s="17">
        <v>0</v>
      </c>
      <c r="Q52" s="17"/>
      <c r="R52" s="17"/>
      <c r="S52" s="17">
        <v>307312000</v>
      </c>
      <c r="T52" s="17">
        <v>-159502000</v>
      </c>
      <c r="U52" s="17">
        <v>349237000</v>
      </c>
      <c r="V52" s="17">
        <v>2343230000</v>
      </c>
      <c r="W52" s="18">
        <v>121046000</v>
      </c>
      <c r="X52" s="6" t="s">
        <v>32</v>
      </c>
      <c r="Y52" s="6" t="s">
        <v>78</v>
      </c>
      <c r="Z52" s="6" t="s">
        <v>62</v>
      </c>
      <c r="AA52" s="6" t="s">
        <v>63</v>
      </c>
    </row>
    <row r="53" spans="1:27" ht="12" customHeight="1">
      <c r="A53" s="14" t="s">
        <v>74</v>
      </c>
      <c r="B53" s="14" t="s">
        <v>75</v>
      </c>
      <c r="C53" s="14" t="s">
        <v>76</v>
      </c>
      <c r="D53" s="14" t="s">
        <v>77</v>
      </c>
      <c r="E53" s="14" t="s">
        <v>31</v>
      </c>
      <c r="F53" s="15">
        <v>2022</v>
      </c>
      <c r="G53" s="16">
        <v>22091621</v>
      </c>
      <c r="H53" s="17">
        <v>435693000</v>
      </c>
      <c r="I53" s="17"/>
      <c r="J53" s="17"/>
      <c r="K53" s="17">
        <v>23445000</v>
      </c>
      <c r="L53" s="17">
        <v>15593000</v>
      </c>
      <c r="M53" s="17">
        <v>63462000</v>
      </c>
      <c r="N53" s="17">
        <v>119487000</v>
      </c>
      <c r="O53" s="17"/>
      <c r="P53" s="17">
        <v>0</v>
      </c>
      <c r="Q53" s="17"/>
      <c r="R53" s="17"/>
      <c r="S53" s="17">
        <v>256553000</v>
      </c>
      <c r="T53" s="17">
        <v>9595000</v>
      </c>
      <c r="U53" s="17">
        <v>147923000</v>
      </c>
      <c r="V53" s="17">
        <v>2563740000</v>
      </c>
      <c r="W53" s="18">
        <v>118322000</v>
      </c>
      <c r="X53" s="6" t="s">
        <v>32</v>
      </c>
      <c r="Y53" s="6" t="s">
        <v>78</v>
      </c>
      <c r="Z53" s="6" t="s">
        <v>62</v>
      </c>
      <c r="AA53" s="6" t="s">
        <v>63</v>
      </c>
    </row>
    <row r="54" spans="1:27" ht="12" customHeight="1">
      <c r="A54" s="14" t="s">
        <v>74</v>
      </c>
      <c r="B54" s="14" t="s">
        <v>75</v>
      </c>
      <c r="C54" s="14" t="s">
        <v>76</v>
      </c>
      <c r="D54" s="14" t="s">
        <v>77</v>
      </c>
      <c r="E54" s="14" t="s">
        <v>31</v>
      </c>
      <c r="F54" s="15">
        <v>2023</v>
      </c>
      <c r="G54" s="16">
        <v>23622746</v>
      </c>
      <c r="H54" s="17">
        <v>529406000</v>
      </c>
      <c r="I54" s="17"/>
      <c r="J54" s="17"/>
      <c r="K54" s="17">
        <v>28083000</v>
      </c>
      <c r="L54" s="17">
        <v>18061000</v>
      </c>
      <c r="M54" s="17">
        <v>73774000</v>
      </c>
      <c r="N54" s="17">
        <v>150085000</v>
      </c>
      <c r="O54" s="17"/>
      <c r="P54" s="17">
        <v>0</v>
      </c>
      <c r="Q54" s="17"/>
      <c r="R54" s="17"/>
      <c r="S54" s="17">
        <v>307121000</v>
      </c>
      <c r="T54" s="17">
        <v>37316000</v>
      </c>
      <c r="U54" s="17">
        <v>97992000</v>
      </c>
      <c r="V54" s="17">
        <v>2455286000</v>
      </c>
      <c r="W54" s="18">
        <v>152586000</v>
      </c>
      <c r="X54" s="6" t="s">
        <v>32</v>
      </c>
      <c r="Y54" s="6" t="s">
        <v>78</v>
      </c>
      <c r="Z54" s="6" t="s">
        <v>62</v>
      </c>
      <c r="AA54" s="6" t="s">
        <v>63</v>
      </c>
    </row>
    <row r="55" spans="1:27" ht="12" customHeight="1">
      <c r="A55" s="14" t="s">
        <v>74</v>
      </c>
      <c r="B55" s="14" t="s">
        <v>75</v>
      </c>
      <c r="C55" s="14" t="s">
        <v>76</v>
      </c>
      <c r="D55" s="14" t="s">
        <v>77</v>
      </c>
      <c r="E55" s="14" t="s">
        <v>31</v>
      </c>
      <c r="F55" s="15">
        <v>2024</v>
      </c>
      <c r="G55" s="16">
        <v>25475680</v>
      </c>
      <c r="H55" s="17">
        <v>598028000</v>
      </c>
      <c r="I55" s="17"/>
      <c r="J55" s="17"/>
      <c r="K55" s="17">
        <v>30780000</v>
      </c>
      <c r="L55" s="17">
        <v>17361000</v>
      </c>
      <c r="M55" s="17">
        <v>74915000</v>
      </c>
      <c r="N55" s="17">
        <v>163489000</v>
      </c>
      <c r="O55" s="17"/>
      <c r="P55" s="17">
        <v>0</v>
      </c>
      <c r="Q55" s="17"/>
      <c r="R55" s="17"/>
      <c r="S55" s="17">
        <v>334163000</v>
      </c>
      <c r="T55" s="17">
        <v>59124000</v>
      </c>
      <c r="U55" s="17">
        <v>90856000</v>
      </c>
      <c r="V55" s="17">
        <v>2366427000</v>
      </c>
      <c r="W55" s="18">
        <v>198842000</v>
      </c>
      <c r="X55" s="6" t="s">
        <v>32</v>
      </c>
      <c r="Y55" s="6" t="s">
        <v>78</v>
      </c>
      <c r="Z55" s="6" t="s">
        <v>62</v>
      </c>
      <c r="AA55" s="6" t="s">
        <v>63</v>
      </c>
    </row>
    <row r="56" spans="1:27" ht="12" customHeight="1">
      <c r="A56" s="14" t="s">
        <v>79</v>
      </c>
      <c r="B56" s="14" t="s">
        <v>80</v>
      </c>
      <c r="C56" s="14" t="s">
        <v>81</v>
      </c>
      <c r="D56" s="14" t="s">
        <v>82</v>
      </c>
      <c r="E56" s="14" t="s">
        <v>31</v>
      </c>
      <c r="F56" s="15">
        <v>2019</v>
      </c>
      <c r="G56" s="16">
        <v>22685074</v>
      </c>
      <c r="H56" s="17">
        <v>820562000</v>
      </c>
      <c r="I56" s="17"/>
      <c r="J56" s="17"/>
      <c r="K56" s="17">
        <v>27518000</v>
      </c>
      <c r="L56" s="17">
        <v>50251000</v>
      </c>
      <c r="M56" s="17">
        <v>47867000</v>
      </c>
      <c r="N56" s="17">
        <v>57856000</v>
      </c>
      <c r="O56" s="17"/>
      <c r="P56" s="17">
        <v>39536000</v>
      </c>
      <c r="Q56" s="17"/>
      <c r="R56" s="17"/>
      <c r="S56" s="17">
        <v>500363000</v>
      </c>
      <c r="T56" s="17">
        <v>55264000</v>
      </c>
      <c r="U56" s="17">
        <v>144968000</v>
      </c>
      <c r="V56" s="17">
        <v>5984308000</v>
      </c>
      <c r="W56" s="18">
        <v>436234000</v>
      </c>
      <c r="X56" s="6" t="s">
        <v>32</v>
      </c>
      <c r="Y56" s="6" t="s">
        <v>83</v>
      </c>
      <c r="Z56" s="6" t="s">
        <v>62</v>
      </c>
      <c r="AA56" s="6" t="s">
        <v>63</v>
      </c>
    </row>
    <row r="57" spans="1:27" ht="12" customHeight="1">
      <c r="A57" s="14" t="s">
        <v>79</v>
      </c>
      <c r="B57" s="14" t="s">
        <v>80</v>
      </c>
      <c r="C57" s="14" t="s">
        <v>81</v>
      </c>
      <c r="D57" s="14" t="s">
        <v>82</v>
      </c>
      <c r="E57" s="14" t="s">
        <v>31</v>
      </c>
      <c r="F57" s="15">
        <v>2020</v>
      </c>
      <c r="G57" s="16">
        <v>12649609</v>
      </c>
      <c r="H57" s="17">
        <v>553762000</v>
      </c>
      <c r="I57" s="17"/>
      <c r="J57" s="17"/>
      <c r="K57" s="17">
        <v>14705000</v>
      </c>
      <c r="L57" s="17">
        <v>25286000</v>
      </c>
      <c r="M57" s="17">
        <v>28930000</v>
      </c>
      <c r="N57" s="17">
        <v>33226000</v>
      </c>
      <c r="O57" s="17"/>
      <c r="P57" s="17">
        <v>27396000</v>
      </c>
      <c r="Q57" s="17"/>
      <c r="R57" s="17"/>
      <c r="S57" s="17">
        <v>510188000</v>
      </c>
      <c r="T57" s="17">
        <v>-227399000</v>
      </c>
      <c r="U57" s="17">
        <v>124916000</v>
      </c>
      <c r="V57" s="17">
        <v>5822862000</v>
      </c>
      <c r="W57" s="18">
        <v>275003000</v>
      </c>
      <c r="X57" s="6" t="s">
        <v>32</v>
      </c>
      <c r="Y57" s="6" t="s">
        <v>83</v>
      </c>
      <c r="Z57" s="6" t="s">
        <v>62</v>
      </c>
      <c r="AA57" s="6" t="s">
        <v>63</v>
      </c>
    </row>
    <row r="58" spans="1:27" ht="12" customHeight="1">
      <c r="A58" s="14" t="s">
        <v>79</v>
      </c>
      <c r="B58" s="14" t="s">
        <v>80</v>
      </c>
      <c r="C58" s="14" t="s">
        <v>81</v>
      </c>
      <c r="D58" s="14" t="s">
        <v>82</v>
      </c>
      <c r="E58" s="14" t="s">
        <v>31</v>
      </c>
      <c r="F58" s="15">
        <v>2021</v>
      </c>
      <c r="G58" s="16">
        <v>15136208</v>
      </c>
      <c r="H58" s="17">
        <v>649645000</v>
      </c>
      <c r="I58" s="17"/>
      <c r="J58" s="17"/>
      <c r="K58" s="17">
        <v>15347000</v>
      </c>
      <c r="L58" s="17">
        <v>20985000</v>
      </c>
      <c r="M58" s="17">
        <v>42148000</v>
      </c>
      <c r="N58" s="17">
        <v>35993000</v>
      </c>
      <c r="O58" s="17"/>
      <c r="P58" s="17">
        <v>26492000</v>
      </c>
      <c r="Q58" s="17"/>
      <c r="R58" s="17"/>
      <c r="S58" s="17">
        <v>480802000</v>
      </c>
      <c r="T58" s="17">
        <v>-108548000</v>
      </c>
      <c r="U58" s="17">
        <v>127183000</v>
      </c>
      <c r="V58" s="17">
        <v>5665948000</v>
      </c>
      <c r="W58" s="18">
        <v>374318000</v>
      </c>
      <c r="X58" s="6" t="s">
        <v>32</v>
      </c>
      <c r="Y58" s="6" t="s">
        <v>83</v>
      </c>
      <c r="Z58" s="6" t="s">
        <v>62</v>
      </c>
      <c r="AA58" s="6" t="s">
        <v>63</v>
      </c>
    </row>
    <row r="59" spans="1:27" ht="12" customHeight="1">
      <c r="A59" s="14" t="s">
        <v>79</v>
      </c>
      <c r="B59" s="14" t="s">
        <v>80</v>
      </c>
      <c r="C59" s="14" t="s">
        <v>81</v>
      </c>
      <c r="D59" s="14" t="s">
        <v>82</v>
      </c>
      <c r="E59" s="14" t="s">
        <v>31</v>
      </c>
      <c r="F59" s="15">
        <v>2022</v>
      </c>
      <c r="G59" s="16">
        <v>24937982</v>
      </c>
      <c r="H59" s="17">
        <v>900466000</v>
      </c>
      <c r="I59" s="17"/>
      <c r="J59" s="17"/>
      <c r="K59" s="17">
        <v>20373000</v>
      </c>
      <c r="L59" s="17">
        <v>33924000</v>
      </c>
      <c r="M59" s="17">
        <v>57076000</v>
      </c>
      <c r="N59" s="17">
        <v>63941000</v>
      </c>
      <c r="O59" s="17"/>
      <c r="P59" s="17">
        <v>32216000</v>
      </c>
      <c r="Q59" s="17"/>
      <c r="R59" s="17"/>
      <c r="S59" s="17">
        <v>534054000</v>
      </c>
      <c r="T59" s="17">
        <v>86237000</v>
      </c>
      <c r="U59" s="17">
        <v>107793000</v>
      </c>
      <c r="V59" s="17">
        <v>5557974000</v>
      </c>
      <c r="W59" s="18">
        <v>484726000</v>
      </c>
      <c r="X59" s="6" t="s">
        <v>32</v>
      </c>
      <c r="Y59" s="6" t="s">
        <v>83</v>
      </c>
      <c r="Z59" s="6" t="s">
        <v>62</v>
      </c>
      <c r="AA59" s="6" t="s">
        <v>63</v>
      </c>
    </row>
    <row r="60" spans="1:27" ht="12" customHeight="1">
      <c r="A60" s="14" t="s">
        <v>79</v>
      </c>
      <c r="B60" s="14" t="s">
        <v>80</v>
      </c>
      <c r="C60" s="14" t="s">
        <v>81</v>
      </c>
      <c r="D60" s="14" t="s">
        <v>82</v>
      </c>
      <c r="E60" s="14" t="s">
        <v>31</v>
      </c>
      <c r="F60" s="15">
        <v>2023</v>
      </c>
      <c r="G60" s="16">
        <v>25751310</v>
      </c>
      <c r="H60" s="17">
        <v>927684000</v>
      </c>
      <c r="I60" s="17"/>
      <c r="J60" s="17"/>
      <c r="K60" s="17">
        <v>27718000</v>
      </c>
      <c r="L60" s="17">
        <v>43120000</v>
      </c>
      <c r="M60" s="17">
        <v>54460000</v>
      </c>
      <c r="N60" s="17">
        <v>77870000</v>
      </c>
      <c r="O60" s="17"/>
      <c r="P60" s="17">
        <v>37860000</v>
      </c>
      <c r="Q60" s="17"/>
      <c r="R60" s="17"/>
      <c r="S60" s="17">
        <v>587442000</v>
      </c>
      <c r="T60" s="17">
        <v>56884000</v>
      </c>
      <c r="U60" s="17">
        <v>119747000</v>
      </c>
      <c r="V60" s="17">
        <v>5417940000</v>
      </c>
      <c r="W60" s="18">
        <v>485096000</v>
      </c>
      <c r="X60" s="6" t="s">
        <v>32</v>
      </c>
      <c r="Y60" s="6" t="s">
        <v>83</v>
      </c>
      <c r="Z60" s="6" t="s">
        <v>62</v>
      </c>
      <c r="AA60" s="6" t="s">
        <v>63</v>
      </c>
    </row>
    <row r="61" spans="1:27" ht="12" customHeight="1">
      <c r="A61" s="14" t="s">
        <v>79</v>
      </c>
      <c r="B61" s="14" t="s">
        <v>80</v>
      </c>
      <c r="C61" s="14" t="s">
        <v>81</v>
      </c>
      <c r="D61" s="14" t="s">
        <v>82</v>
      </c>
      <c r="E61" s="14" t="s">
        <v>31</v>
      </c>
      <c r="F61" s="15">
        <v>2024</v>
      </c>
      <c r="G61" s="16">
        <v>27884707</v>
      </c>
      <c r="H61" s="17">
        <v>954940000</v>
      </c>
      <c r="I61" s="17"/>
      <c r="J61" s="17"/>
      <c r="K61" s="17">
        <v>31172000</v>
      </c>
      <c r="L61" s="17">
        <v>53275000</v>
      </c>
      <c r="M61" s="17">
        <v>52178000</v>
      </c>
      <c r="N61" s="17">
        <v>81622000</v>
      </c>
      <c r="O61" s="17"/>
      <c r="P61" s="17">
        <v>41852000</v>
      </c>
      <c r="Q61" s="17"/>
      <c r="R61" s="17"/>
      <c r="S61" s="17">
        <v>642874000</v>
      </c>
      <c r="T61" s="17">
        <v>29209000</v>
      </c>
      <c r="U61" s="17">
        <v>244774000</v>
      </c>
      <c r="V61" s="17">
        <v>5263651000</v>
      </c>
      <c r="W61" s="18">
        <v>469318000</v>
      </c>
      <c r="X61" s="6" t="s">
        <v>32</v>
      </c>
      <c r="Y61" s="6" t="s">
        <v>83</v>
      </c>
      <c r="Z61" s="6" t="s">
        <v>62</v>
      </c>
      <c r="AA61" s="6" t="s">
        <v>63</v>
      </c>
    </row>
    <row r="62" spans="1:27" ht="12" customHeight="1">
      <c r="A62" s="14" t="s">
        <v>84</v>
      </c>
      <c r="B62" s="14" t="s">
        <v>85</v>
      </c>
      <c r="C62" s="14" t="s">
        <v>86</v>
      </c>
      <c r="D62" s="14" t="s">
        <v>44</v>
      </c>
      <c r="E62" s="14" t="s">
        <v>31</v>
      </c>
      <c r="F62" s="15">
        <v>2019</v>
      </c>
      <c r="G62" s="16">
        <v>28620387</v>
      </c>
      <c r="H62" s="17">
        <v>980444000</v>
      </c>
      <c r="I62" s="17"/>
      <c r="J62" s="17"/>
      <c r="K62" s="17">
        <v>31372000</v>
      </c>
      <c r="L62" s="17">
        <v>53208000</v>
      </c>
      <c r="M62" s="17">
        <v>69082000</v>
      </c>
      <c r="N62" s="17">
        <v>165311000</v>
      </c>
      <c r="O62" s="17"/>
      <c r="P62" s="17">
        <v>31481000</v>
      </c>
      <c r="Q62" s="17"/>
      <c r="R62" s="17"/>
      <c r="S62" s="17">
        <v>495223000</v>
      </c>
      <c r="T62" s="17">
        <v>216432000</v>
      </c>
      <c r="U62" s="17">
        <v>1390256000</v>
      </c>
      <c r="V62" s="17">
        <v>7304400000</v>
      </c>
      <c r="W62" s="18">
        <v>488891000</v>
      </c>
      <c r="X62" s="6" t="s">
        <v>32</v>
      </c>
      <c r="Y62" s="6" t="s">
        <v>87</v>
      </c>
      <c r="Z62" s="6" t="s">
        <v>62</v>
      </c>
      <c r="AA62" s="6" t="s">
        <v>63</v>
      </c>
    </row>
    <row r="63" spans="1:27" ht="12" customHeight="1">
      <c r="A63" s="14" t="s">
        <v>84</v>
      </c>
      <c r="B63" s="14" t="s">
        <v>85</v>
      </c>
      <c r="C63" s="14" t="s">
        <v>86</v>
      </c>
      <c r="D63" s="14" t="s">
        <v>44</v>
      </c>
      <c r="E63" s="14" t="s">
        <v>31</v>
      </c>
      <c r="F63" s="15">
        <v>2020</v>
      </c>
      <c r="G63" s="16">
        <v>20215547</v>
      </c>
      <c r="H63" s="17">
        <v>943879000</v>
      </c>
      <c r="I63" s="17"/>
      <c r="J63" s="17"/>
      <c r="K63" s="17">
        <v>26911000</v>
      </c>
      <c r="L63" s="17">
        <v>35857000</v>
      </c>
      <c r="M63" s="17">
        <v>57453000</v>
      </c>
      <c r="N63" s="17">
        <v>112513000</v>
      </c>
      <c r="O63" s="17"/>
      <c r="P63" s="17">
        <v>33394000</v>
      </c>
      <c r="Q63" s="17"/>
      <c r="R63" s="17"/>
      <c r="S63" s="17">
        <v>618954000</v>
      </c>
      <c r="T63" s="17">
        <v>12807000</v>
      </c>
      <c r="U63" s="17">
        <v>856213000</v>
      </c>
      <c r="V63" s="17">
        <v>7954375000</v>
      </c>
      <c r="W63" s="18">
        <v>533934000</v>
      </c>
      <c r="X63" s="6" t="s">
        <v>32</v>
      </c>
      <c r="Y63" s="6" t="s">
        <v>87</v>
      </c>
      <c r="Z63" s="6" t="s">
        <v>62</v>
      </c>
      <c r="AA63" s="6" t="s">
        <v>63</v>
      </c>
    </row>
    <row r="64" spans="1:27" ht="12" customHeight="1">
      <c r="A64" s="14" t="s">
        <v>84</v>
      </c>
      <c r="B64" s="14" t="s">
        <v>85</v>
      </c>
      <c r="C64" s="14" t="s">
        <v>86</v>
      </c>
      <c r="D64" s="14" t="s">
        <v>44</v>
      </c>
      <c r="E64" s="14" t="s">
        <v>31</v>
      </c>
      <c r="F64" s="15">
        <v>2021</v>
      </c>
      <c r="G64" s="16">
        <v>6924578</v>
      </c>
      <c r="H64" s="17">
        <v>515416000</v>
      </c>
      <c r="I64" s="17"/>
      <c r="J64" s="17"/>
      <c r="K64" s="17">
        <v>14446000</v>
      </c>
      <c r="L64" s="17">
        <v>6724000</v>
      </c>
      <c r="M64" s="17">
        <v>37923000</v>
      </c>
      <c r="N64" s="17">
        <v>44727000</v>
      </c>
      <c r="O64" s="17"/>
      <c r="P64" s="17">
        <v>25588000</v>
      </c>
      <c r="Q64" s="17"/>
      <c r="R64" s="17"/>
      <c r="S64" s="17">
        <v>583250000</v>
      </c>
      <c r="T64" s="17">
        <v>-398969000</v>
      </c>
      <c r="U64" s="17">
        <v>606389000</v>
      </c>
      <c r="V64" s="17">
        <v>8156410000</v>
      </c>
      <c r="W64" s="18">
        <v>261873000</v>
      </c>
      <c r="X64" s="6" t="s">
        <v>32</v>
      </c>
      <c r="Y64" s="6" t="s">
        <v>87</v>
      </c>
      <c r="Z64" s="6" t="s">
        <v>62</v>
      </c>
      <c r="AA64" s="6" t="s">
        <v>63</v>
      </c>
    </row>
    <row r="65" spans="1:27" ht="12" customHeight="1">
      <c r="A65" s="14" t="s">
        <v>84</v>
      </c>
      <c r="B65" s="14" t="s">
        <v>85</v>
      </c>
      <c r="C65" s="14" t="s">
        <v>86</v>
      </c>
      <c r="D65" s="14" t="s">
        <v>44</v>
      </c>
      <c r="E65" s="14" t="s">
        <v>31</v>
      </c>
      <c r="F65" s="15">
        <v>2022</v>
      </c>
      <c r="G65" s="16">
        <v>17396249</v>
      </c>
      <c r="H65" s="17">
        <v>821253000</v>
      </c>
      <c r="I65" s="17"/>
      <c r="J65" s="17"/>
      <c r="K65" s="17">
        <v>25610000</v>
      </c>
      <c r="L65" s="17">
        <v>22795000</v>
      </c>
      <c r="M65" s="17">
        <v>63442000</v>
      </c>
      <c r="N65" s="17">
        <v>132091000</v>
      </c>
      <c r="O65" s="17"/>
      <c r="P65" s="17">
        <v>26521000</v>
      </c>
      <c r="Q65" s="17"/>
      <c r="R65" s="17"/>
      <c r="S65" s="17">
        <v>453454000</v>
      </c>
      <c r="T65" s="17">
        <v>11423000</v>
      </c>
      <c r="U65" s="17">
        <v>263790000</v>
      </c>
      <c r="V65" s="17">
        <v>8185250000</v>
      </c>
      <c r="W65" s="18">
        <v>381529000</v>
      </c>
      <c r="X65" s="6" t="s">
        <v>32</v>
      </c>
      <c r="Y65" s="6" t="s">
        <v>87</v>
      </c>
      <c r="Z65" s="6" t="s">
        <v>62</v>
      </c>
      <c r="AA65" s="6" t="s">
        <v>63</v>
      </c>
    </row>
    <row r="66" spans="1:27" ht="12" customHeight="1">
      <c r="A66" s="14" t="s">
        <v>84</v>
      </c>
      <c r="B66" s="14" t="s">
        <v>85</v>
      </c>
      <c r="C66" s="14" t="s">
        <v>86</v>
      </c>
      <c r="D66" s="14" t="s">
        <v>44</v>
      </c>
      <c r="E66" s="14" t="s">
        <v>31</v>
      </c>
      <c r="F66" s="15">
        <v>2023</v>
      </c>
      <c r="G66" s="16">
        <v>23419568</v>
      </c>
      <c r="H66" s="17">
        <v>1064104000</v>
      </c>
      <c r="I66" s="17"/>
      <c r="J66" s="17"/>
      <c r="K66" s="17">
        <v>30953000</v>
      </c>
      <c r="L66" s="17">
        <v>27957000</v>
      </c>
      <c r="M66" s="17">
        <v>79041000</v>
      </c>
      <c r="N66" s="17">
        <v>183359000</v>
      </c>
      <c r="O66" s="17"/>
      <c r="P66" s="17">
        <v>20007000</v>
      </c>
      <c r="Q66" s="17"/>
      <c r="R66" s="17"/>
      <c r="S66" s="17">
        <v>547275000</v>
      </c>
      <c r="T66" s="17">
        <v>161354000</v>
      </c>
      <c r="U66" s="17">
        <v>291104000</v>
      </c>
      <c r="V66" s="17">
        <v>8552890000</v>
      </c>
      <c r="W66" s="18">
        <v>538656000</v>
      </c>
      <c r="X66" s="6" t="s">
        <v>32</v>
      </c>
      <c r="Y66" s="6" t="s">
        <v>87</v>
      </c>
      <c r="Z66" s="6" t="s">
        <v>62</v>
      </c>
      <c r="AA66" s="6" t="s">
        <v>63</v>
      </c>
    </row>
    <row r="67" spans="1:27" ht="12" customHeight="1">
      <c r="A67" s="14" t="s">
        <v>84</v>
      </c>
      <c r="B67" s="14" t="s">
        <v>85</v>
      </c>
      <c r="C67" s="14" t="s">
        <v>86</v>
      </c>
      <c r="D67" s="14" t="s">
        <v>44</v>
      </c>
      <c r="E67" s="14" t="s">
        <v>31</v>
      </c>
      <c r="F67" s="15">
        <v>2024</v>
      </c>
      <c r="G67" s="16">
        <v>25515536</v>
      </c>
      <c r="H67" s="17">
        <v>1401390000</v>
      </c>
      <c r="I67" s="17"/>
      <c r="J67" s="17"/>
      <c r="K67" s="17">
        <v>38246000</v>
      </c>
      <c r="L67" s="17">
        <v>53235000</v>
      </c>
      <c r="M67" s="17">
        <v>80126000</v>
      </c>
      <c r="N67" s="17">
        <v>193914000</v>
      </c>
      <c r="O67" s="17"/>
      <c r="P67" s="17">
        <v>22622000</v>
      </c>
      <c r="Q67" s="17"/>
      <c r="R67" s="17"/>
      <c r="S67" s="17">
        <v>617684000</v>
      </c>
      <c r="T67" s="17">
        <v>424834000</v>
      </c>
      <c r="U67" s="17">
        <v>558514000</v>
      </c>
      <c r="V67" s="17">
        <v>8936700000</v>
      </c>
      <c r="W67" s="18">
        <v>819960000</v>
      </c>
      <c r="X67" s="6" t="s">
        <v>32</v>
      </c>
      <c r="Y67" s="6" t="s">
        <v>87</v>
      </c>
      <c r="Z67" s="6" t="s">
        <v>62</v>
      </c>
      <c r="AA67" s="6" t="s">
        <v>63</v>
      </c>
    </row>
    <row r="68" spans="1:27" ht="12" customHeight="1">
      <c r="A68" s="14" t="s">
        <v>88</v>
      </c>
      <c r="B68" s="14" t="s">
        <v>89</v>
      </c>
      <c r="C68" s="14" t="s">
        <v>90</v>
      </c>
      <c r="D68" s="14" t="s">
        <v>39</v>
      </c>
      <c r="E68" s="14" t="s">
        <v>31</v>
      </c>
      <c r="F68" s="15">
        <v>2019</v>
      </c>
      <c r="G68" s="16">
        <v>22478454</v>
      </c>
      <c r="H68" s="17">
        <v>391143000</v>
      </c>
      <c r="I68" s="17"/>
      <c r="J68" s="17"/>
      <c r="K68" s="17">
        <v>9742000</v>
      </c>
      <c r="L68" s="17">
        <v>7569000</v>
      </c>
      <c r="M68" s="17">
        <v>21831000</v>
      </c>
      <c r="N68" s="17">
        <v>93196000</v>
      </c>
      <c r="O68" s="17"/>
      <c r="P68" s="17">
        <v>5161000</v>
      </c>
      <c r="Q68" s="17"/>
      <c r="R68" s="17"/>
      <c r="S68" s="17">
        <v>251558000</v>
      </c>
      <c r="T68" s="17">
        <v>1321000</v>
      </c>
      <c r="U68" s="17">
        <v>124696000</v>
      </c>
      <c r="V68" s="17">
        <v>1692806000</v>
      </c>
      <c r="W68" s="18">
        <v>221205000</v>
      </c>
      <c r="X68" s="6" t="s">
        <v>32</v>
      </c>
      <c r="Y68" s="6" t="s">
        <v>91</v>
      </c>
      <c r="Z68" s="6" t="s">
        <v>62</v>
      </c>
      <c r="AA68" s="6" t="s">
        <v>63</v>
      </c>
    </row>
    <row r="69" spans="1:27" ht="12" customHeight="1">
      <c r="A69" s="14" t="s">
        <v>88</v>
      </c>
      <c r="B69" s="14" t="s">
        <v>89</v>
      </c>
      <c r="C69" s="14" t="s">
        <v>90</v>
      </c>
      <c r="D69" s="14" t="s">
        <v>39</v>
      </c>
      <c r="E69" s="14" t="s">
        <v>31</v>
      </c>
      <c r="F69" s="15">
        <v>2020</v>
      </c>
      <c r="G69" s="16">
        <v>16527043</v>
      </c>
      <c r="H69" s="17">
        <v>373473000</v>
      </c>
      <c r="I69" s="17"/>
      <c r="J69" s="17"/>
      <c r="K69" s="17">
        <v>7521000</v>
      </c>
      <c r="L69" s="17">
        <v>5783000</v>
      </c>
      <c r="M69" s="17">
        <v>18569000</v>
      </c>
      <c r="N69" s="17">
        <v>69574000</v>
      </c>
      <c r="O69" s="17"/>
      <c r="P69" s="17">
        <v>3873000</v>
      </c>
      <c r="Q69" s="17"/>
      <c r="R69" s="17"/>
      <c r="S69" s="17">
        <v>280089000</v>
      </c>
      <c r="T69" s="17">
        <v>-46990000</v>
      </c>
      <c r="U69" s="17">
        <v>170282000</v>
      </c>
      <c r="V69" s="17">
        <v>1637603000</v>
      </c>
      <c r="W69" s="18">
        <v>233547000</v>
      </c>
      <c r="X69" s="6" t="s">
        <v>32</v>
      </c>
      <c r="Y69" s="6" t="s">
        <v>91</v>
      </c>
      <c r="Z69" s="6" t="s">
        <v>62</v>
      </c>
      <c r="AA69" s="6" t="s">
        <v>63</v>
      </c>
    </row>
    <row r="70" spans="1:27" ht="12" customHeight="1">
      <c r="A70" s="14" t="s">
        <v>88</v>
      </c>
      <c r="B70" s="14" t="s">
        <v>89</v>
      </c>
      <c r="C70" s="14" t="s">
        <v>90</v>
      </c>
      <c r="D70" s="14" t="s">
        <v>39</v>
      </c>
      <c r="E70" s="14" t="s">
        <v>31</v>
      </c>
      <c r="F70" s="15">
        <v>2021</v>
      </c>
      <c r="G70" s="16">
        <v>10861348</v>
      </c>
      <c r="H70" s="17">
        <v>246007000</v>
      </c>
      <c r="I70" s="17"/>
      <c r="J70" s="17"/>
      <c r="K70" s="17">
        <v>4132000</v>
      </c>
      <c r="L70" s="17">
        <v>3604000</v>
      </c>
      <c r="M70" s="17">
        <v>16270000</v>
      </c>
      <c r="N70" s="17">
        <v>37321000</v>
      </c>
      <c r="O70" s="17"/>
      <c r="P70" s="17">
        <v>1144000</v>
      </c>
      <c r="Q70" s="17"/>
      <c r="R70" s="17"/>
      <c r="S70" s="17">
        <v>236683000</v>
      </c>
      <c r="T70" s="17">
        <v>-123491000</v>
      </c>
      <c r="U70" s="17">
        <v>217274000</v>
      </c>
      <c r="V70" s="17">
        <v>1814565000</v>
      </c>
      <c r="W70" s="18">
        <v>151064000</v>
      </c>
      <c r="X70" s="6" t="s">
        <v>32</v>
      </c>
      <c r="Y70" s="6" t="s">
        <v>91</v>
      </c>
      <c r="Z70" s="6" t="s">
        <v>62</v>
      </c>
      <c r="AA70" s="6" t="s">
        <v>63</v>
      </c>
    </row>
    <row r="71" spans="1:27" ht="12" customHeight="1">
      <c r="A71" s="14" t="s">
        <v>88</v>
      </c>
      <c r="B71" s="14" t="s">
        <v>89</v>
      </c>
      <c r="C71" s="14" t="s">
        <v>90</v>
      </c>
      <c r="D71" s="14" t="s">
        <v>39</v>
      </c>
      <c r="E71" s="14" t="s">
        <v>31</v>
      </c>
      <c r="F71" s="15">
        <v>2022</v>
      </c>
      <c r="G71" s="16">
        <v>19812392</v>
      </c>
      <c r="H71" s="17">
        <v>370077000</v>
      </c>
      <c r="I71" s="17"/>
      <c r="J71" s="17"/>
      <c r="K71" s="17">
        <v>9526000</v>
      </c>
      <c r="L71" s="17">
        <v>6739000</v>
      </c>
      <c r="M71" s="17">
        <v>27191000</v>
      </c>
      <c r="N71" s="17">
        <v>87056000</v>
      </c>
      <c r="O71" s="17"/>
      <c r="P71" s="17">
        <v>3196000</v>
      </c>
      <c r="Q71" s="17"/>
      <c r="R71" s="17"/>
      <c r="S71" s="17">
        <v>232019000</v>
      </c>
      <c r="T71" s="17">
        <v>9699000</v>
      </c>
      <c r="U71" s="17">
        <v>253296000</v>
      </c>
      <c r="V71" s="17">
        <v>1986437000</v>
      </c>
      <c r="W71" s="18">
        <v>202415000</v>
      </c>
      <c r="X71" s="6" t="s">
        <v>32</v>
      </c>
      <c r="Y71" s="6" t="s">
        <v>91</v>
      </c>
      <c r="Z71" s="6" t="s">
        <v>62</v>
      </c>
      <c r="AA71" s="6" t="s">
        <v>63</v>
      </c>
    </row>
    <row r="72" spans="1:27" ht="12" customHeight="1">
      <c r="A72" s="14" t="s">
        <v>88</v>
      </c>
      <c r="B72" s="14" t="s">
        <v>89</v>
      </c>
      <c r="C72" s="14" t="s">
        <v>90</v>
      </c>
      <c r="D72" s="14" t="s">
        <v>39</v>
      </c>
      <c r="E72" s="14" t="s">
        <v>31</v>
      </c>
      <c r="F72" s="15">
        <v>2023</v>
      </c>
      <c r="G72" s="16">
        <v>22120380</v>
      </c>
      <c r="H72" s="17">
        <v>428188000</v>
      </c>
      <c r="I72" s="17"/>
      <c r="J72" s="17"/>
      <c r="K72" s="17">
        <v>11438000</v>
      </c>
      <c r="L72" s="17">
        <v>9427000</v>
      </c>
      <c r="M72" s="17">
        <v>30056000</v>
      </c>
      <c r="N72" s="17">
        <v>107051000</v>
      </c>
      <c r="O72" s="17"/>
      <c r="P72" s="17">
        <v>4863000</v>
      </c>
      <c r="Q72" s="17"/>
      <c r="R72" s="17"/>
      <c r="S72" s="17">
        <v>297841000</v>
      </c>
      <c r="T72" s="17">
        <v>-976000</v>
      </c>
      <c r="U72" s="17">
        <v>414471000</v>
      </c>
      <c r="V72" s="17">
        <v>2149935000</v>
      </c>
      <c r="W72" s="18">
        <v>231725000</v>
      </c>
      <c r="X72" s="6" t="s">
        <v>32</v>
      </c>
      <c r="Y72" s="6" t="s">
        <v>91</v>
      </c>
      <c r="Z72" s="6" t="s">
        <v>62</v>
      </c>
      <c r="AA72" s="6" t="s">
        <v>63</v>
      </c>
    </row>
    <row r="73" spans="1:27" ht="12" customHeight="1">
      <c r="A73" s="14" t="s">
        <v>88</v>
      </c>
      <c r="B73" s="14" t="s">
        <v>89</v>
      </c>
      <c r="C73" s="14" t="s">
        <v>90</v>
      </c>
      <c r="D73" s="14" t="s">
        <v>39</v>
      </c>
      <c r="E73" s="14" t="s">
        <v>31</v>
      </c>
      <c r="F73" s="15">
        <v>2024</v>
      </c>
      <c r="G73" s="16">
        <v>23718098</v>
      </c>
      <c r="H73" s="17">
        <v>456537000</v>
      </c>
      <c r="I73" s="17"/>
      <c r="J73" s="17"/>
      <c r="K73" s="17">
        <v>9601000</v>
      </c>
      <c r="L73" s="17">
        <v>10772000</v>
      </c>
      <c r="M73" s="17">
        <v>31408000</v>
      </c>
      <c r="N73" s="17">
        <v>112970000</v>
      </c>
      <c r="O73" s="17"/>
      <c r="P73" s="17">
        <v>5485000</v>
      </c>
      <c r="Q73" s="17"/>
      <c r="R73" s="17"/>
      <c r="S73" s="17">
        <v>328897000</v>
      </c>
      <c r="T73" s="17">
        <v>-3022000</v>
      </c>
      <c r="U73" s="17">
        <v>356763000</v>
      </c>
      <c r="V73" s="17">
        <v>2176210000</v>
      </c>
      <c r="W73" s="18">
        <v>252842000</v>
      </c>
      <c r="X73" s="6" t="s">
        <v>32</v>
      </c>
      <c r="Y73" s="6" t="s">
        <v>91</v>
      </c>
      <c r="Z73" s="6" t="s">
        <v>62</v>
      </c>
      <c r="AA73" s="6" t="s">
        <v>63</v>
      </c>
    </row>
    <row r="74" spans="1:27" ht="12" customHeight="1">
      <c r="A74" s="14" t="s">
        <v>92</v>
      </c>
      <c r="B74" s="14" t="s">
        <v>93</v>
      </c>
      <c r="C74" s="14" t="s">
        <v>94</v>
      </c>
      <c r="D74" s="14" t="s">
        <v>82</v>
      </c>
      <c r="E74" s="14" t="s">
        <v>31</v>
      </c>
      <c r="F74" s="15">
        <v>2019</v>
      </c>
      <c r="G74" s="16">
        <v>24846842</v>
      </c>
      <c r="H74" s="17">
        <v>501031000</v>
      </c>
      <c r="I74" s="17"/>
      <c r="J74" s="17"/>
      <c r="K74" s="17">
        <v>31553000</v>
      </c>
      <c r="L74" s="17">
        <v>21513000</v>
      </c>
      <c r="M74" s="17">
        <v>107254000</v>
      </c>
      <c r="N74" s="17">
        <v>93122000</v>
      </c>
      <c r="O74" s="17"/>
      <c r="P74" s="17">
        <v>18792000</v>
      </c>
      <c r="Q74" s="17"/>
      <c r="R74" s="17"/>
      <c r="S74" s="17">
        <v>326069000</v>
      </c>
      <c r="T74" s="17">
        <v>-6072000</v>
      </c>
      <c r="U74" s="17">
        <v>720989000</v>
      </c>
      <c r="V74" s="17">
        <v>2424672000</v>
      </c>
      <c r="W74" s="18">
        <v>141526000</v>
      </c>
      <c r="X74" s="6" t="s">
        <v>32</v>
      </c>
      <c r="Y74" s="6" t="s">
        <v>95</v>
      </c>
      <c r="Z74" s="6" t="s">
        <v>62</v>
      </c>
      <c r="AA74" s="6" t="s">
        <v>63</v>
      </c>
    </row>
    <row r="75" spans="1:27" ht="12" customHeight="1">
      <c r="A75" s="14" t="s">
        <v>92</v>
      </c>
      <c r="B75" s="14" t="s">
        <v>93</v>
      </c>
      <c r="C75" s="14" t="s">
        <v>94</v>
      </c>
      <c r="D75" s="14" t="s">
        <v>82</v>
      </c>
      <c r="E75" s="14" t="s">
        <v>31</v>
      </c>
      <c r="F75" s="15">
        <v>2020</v>
      </c>
      <c r="G75" s="16">
        <v>14538126</v>
      </c>
      <c r="H75" s="17">
        <v>434226000</v>
      </c>
      <c r="I75" s="17"/>
      <c r="J75" s="17"/>
      <c r="K75" s="17">
        <v>21489000</v>
      </c>
      <c r="L75" s="17">
        <v>13911000</v>
      </c>
      <c r="M75" s="17">
        <v>87741000</v>
      </c>
      <c r="N75" s="17">
        <v>56345000</v>
      </c>
      <c r="O75" s="17"/>
      <c r="P75" s="17">
        <v>15157000</v>
      </c>
      <c r="Q75" s="17"/>
      <c r="R75" s="17"/>
      <c r="S75" s="17">
        <v>283657000</v>
      </c>
      <c r="T75" s="17">
        <v>-38151000</v>
      </c>
      <c r="U75" s="17">
        <v>973288000</v>
      </c>
      <c r="V75" s="17">
        <v>3193491000</v>
      </c>
      <c r="W75" s="18">
        <v>170283000</v>
      </c>
      <c r="X75" s="6" t="s">
        <v>32</v>
      </c>
      <c r="Y75" s="6" t="s">
        <v>95</v>
      </c>
      <c r="Z75" s="6" t="s">
        <v>62</v>
      </c>
      <c r="AA75" s="6" t="s">
        <v>63</v>
      </c>
    </row>
    <row r="76" spans="1:27" ht="12" customHeight="1">
      <c r="A76" s="14" t="s">
        <v>92</v>
      </c>
      <c r="B76" s="14" t="s">
        <v>93</v>
      </c>
      <c r="C76" s="14" t="s">
        <v>94</v>
      </c>
      <c r="D76" s="14" t="s">
        <v>82</v>
      </c>
      <c r="E76" s="14" t="s">
        <v>31</v>
      </c>
      <c r="F76" s="15">
        <v>2021</v>
      </c>
      <c r="G76" s="16">
        <v>16984242</v>
      </c>
      <c r="H76" s="17">
        <v>396006000</v>
      </c>
      <c r="I76" s="17"/>
      <c r="J76" s="17"/>
      <c r="K76" s="17">
        <v>22289000</v>
      </c>
      <c r="L76" s="17">
        <v>12117000</v>
      </c>
      <c r="M76" s="17">
        <v>92927000</v>
      </c>
      <c r="N76" s="17">
        <v>59235000</v>
      </c>
      <c r="O76" s="17"/>
      <c r="P76" s="17">
        <v>12471000</v>
      </c>
      <c r="Q76" s="17"/>
      <c r="R76" s="17"/>
      <c r="S76" s="17">
        <v>255221000</v>
      </c>
      <c r="T76" s="17">
        <v>-41564000</v>
      </c>
      <c r="U76" s="17">
        <v>626480000</v>
      </c>
      <c r="V76" s="17">
        <v>3132861000</v>
      </c>
      <c r="W76" s="18">
        <v>131021000</v>
      </c>
      <c r="X76" s="6" t="s">
        <v>32</v>
      </c>
      <c r="Y76" s="6" t="s">
        <v>95</v>
      </c>
      <c r="Z76" s="6" t="s">
        <v>62</v>
      </c>
      <c r="AA76" s="6" t="s">
        <v>63</v>
      </c>
    </row>
    <row r="77" spans="1:27" ht="12" customHeight="1">
      <c r="A77" s="14" t="s">
        <v>92</v>
      </c>
      <c r="B77" s="14" t="s">
        <v>93</v>
      </c>
      <c r="C77" s="14" t="s">
        <v>94</v>
      </c>
      <c r="D77" s="14" t="s">
        <v>82</v>
      </c>
      <c r="E77" s="14" t="s">
        <v>31</v>
      </c>
      <c r="F77" s="15">
        <v>2022</v>
      </c>
      <c r="G77" s="16">
        <v>24220932</v>
      </c>
      <c r="H77" s="17">
        <v>510017000</v>
      </c>
      <c r="I77" s="17"/>
      <c r="J77" s="17"/>
      <c r="K77" s="17">
        <v>28594000</v>
      </c>
      <c r="L77" s="17">
        <v>16879000</v>
      </c>
      <c r="M77" s="17">
        <v>130762000</v>
      </c>
      <c r="N77" s="17">
        <v>97899000</v>
      </c>
      <c r="O77" s="17"/>
      <c r="P77" s="17">
        <v>16394000</v>
      </c>
      <c r="Q77" s="17"/>
      <c r="R77" s="17"/>
      <c r="S77" s="17">
        <v>312883000</v>
      </c>
      <c r="T77" s="17">
        <v>28373000</v>
      </c>
      <c r="U77" s="17">
        <v>400063000</v>
      </c>
      <c r="V77" s="17">
        <v>2965011000</v>
      </c>
      <c r="W77" s="18">
        <v>118825000</v>
      </c>
      <c r="X77" s="6" t="s">
        <v>32</v>
      </c>
      <c r="Y77" s="6" t="s">
        <v>95</v>
      </c>
      <c r="Z77" s="6" t="s">
        <v>62</v>
      </c>
      <c r="AA77" s="6" t="s">
        <v>63</v>
      </c>
    </row>
    <row r="78" spans="1:27" ht="12" customHeight="1">
      <c r="A78" s="14" t="s">
        <v>92</v>
      </c>
      <c r="B78" s="14" t="s">
        <v>93</v>
      </c>
      <c r="C78" s="14" t="s">
        <v>94</v>
      </c>
      <c r="D78" s="14" t="s">
        <v>82</v>
      </c>
      <c r="E78" s="14" t="s">
        <v>31</v>
      </c>
      <c r="F78" s="15">
        <v>2023</v>
      </c>
      <c r="G78" s="16">
        <v>27919698</v>
      </c>
      <c r="H78" s="17">
        <v>651684000</v>
      </c>
      <c r="I78" s="17"/>
      <c r="J78" s="17"/>
      <c r="K78" s="17">
        <v>37424000</v>
      </c>
      <c r="L78" s="17">
        <v>23238000</v>
      </c>
      <c r="M78" s="17">
        <v>129324000</v>
      </c>
      <c r="N78" s="17">
        <v>117967000</v>
      </c>
      <c r="O78" s="17"/>
      <c r="P78" s="17">
        <v>19924000</v>
      </c>
      <c r="Q78" s="17"/>
      <c r="R78" s="17"/>
      <c r="S78" s="17">
        <v>452636000</v>
      </c>
      <c r="T78" s="17">
        <v>-32909000</v>
      </c>
      <c r="U78" s="17">
        <v>176346000</v>
      </c>
      <c r="V78" s="17">
        <v>2806240000</v>
      </c>
      <c r="W78" s="18">
        <v>213316000</v>
      </c>
      <c r="X78" s="6" t="s">
        <v>32</v>
      </c>
      <c r="Y78" s="6" t="s">
        <v>95</v>
      </c>
      <c r="Z78" s="6" t="s">
        <v>62</v>
      </c>
      <c r="AA78" s="6" t="s">
        <v>63</v>
      </c>
    </row>
    <row r="79" spans="1:27" ht="12" customHeight="1">
      <c r="A79" s="14" t="s">
        <v>92</v>
      </c>
      <c r="B79" s="14" t="s">
        <v>93</v>
      </c>
      <c r="C79" s="14" t="s">
        <v>94</v>
      </c>
      <c r="D79" s="14" t="s">
        <v>82</v>
      </c>
      <c r="E79" s="14" t="s">
        <v>31</v>
      </c>
      <c r="F79" s="15">
        <v>2024</v>
      </c>
      <c r="G79" s="16">
        <v>29080689</v>
      </c>
      <c r="H79" s="17">
        <v>721005000</v>
      </c>
      <c r="I79" s="17"/>
      <c r="J79" s="17"/>
      <c r="K79" s="17">
        <v>45304000</v>
      </c>
      <c r="L79" s="17">
        <v>23897000</v>
      </c>
      <c r="M79" s="17">
        <v>129030000</v>
      </c>
      <c r="N79" s="17">
        <v>142808000</v>
      </c>
      <c r="O79" s="17"/>
      <c r="P79" s="17">
        <v>25917000</v>
      </c>
      <c r="Q79" s="17"/>
      <c r="R79" s="17"/>
      <c r="S79" s="17">
        <v>491337000</v>
      </c>
      <c r="T79" s="17">
        <v>-573000</v>
      </c>
      <c r="U79" s="17">
        <v>329351000</v>
      </c>
      <c r="V79" s="17">
        <v>2660996000</v>
      </c>
      <c r="W79" s="18">
        <v>237852000</v>
      </c>
      <c r="X79" s="6" t="s">
        <v>32</v>
      </c>
      <c r="Y79" s="6" t="s">
        <v>95</v>
      </c>
      <c r="Z79" s="6" t="s">
        <v>62</v>
      </c>
      <c r="AA79" s="6" t="s">
        <v>63</v>
      </c>
    </row>
    <row r="80" spans="1:27" ht="12" customHeight="1">
      <c r="A80" s="14" t="s">
        <v>96</v>
      </c>
      <c r="B80" s="14" t="s">
        <v>97</v>
      </c>
      <c r="C80" s="14" t="s">
        <v>98</v>
      </c>
      <c r="D80" s="14" t="s">
        <v>99</v>
      </c>
      <c r="E80" s="14" t="s">
        <v>31</v>
      </c>
      <c r="F80" s="15">
        <v>2019</v>
      </c>
      <c r="G80" s="16">
        <v>18121193</v>
      </c>
      <c r="H80" s="17">
        <v>400652000</v>
      </c>
      <c r="I80" s="17"/>
      <c r="J80" s="17"/>
      <c r="K80" s="17">
        <v>21178000</v>
      </c>
      <c r="L80" s="17">
        <v>14815000</v>
      </c>
      <c r="M80" s="17">
        <v>25867000</v>
      </c>
      <c r="N80" s="17">
        <v>98081000</v>
      </c>
      <c r="O80" s="17"/>
      <c r="P80" s="17">
        <v>5677000</v>
      </c>
      <c r="Q80" s="17"/>
      <c r="R80" s="17"/>
      <c r="S80" s="17">
        <v>265332000</v>
      </c>
      <c r="T80" s="17">
        <v>14647000</v>
      </c>
      <c r="U80" s="17">
        <v>196507000</v>
      </c>
      <c r="V80" s="17">
        <v>2288409000</v>
      </c>
      <c r="W80" s="18">
        <v>171156000</v>
      </c>
      <c r="X80" s="6" t="s">
        <v>32</v>
      </c>
      <c r="Y80" s="6" t="s">
        <v>100</v>
      </c>
      <c r="Z80" s="6" t="s">
        <v>62</v>
      </c>
      <c r="AA80" s="6" t="s">
        <v>63</v>
      </c>
    </row>
    <row r="81" spans="1:27" ht="12" customHeight="1">
      <c r="A81" s="14" t="s">
        <v>96</v>
      </c>
      <c r="B81" s="14" t="s">
        <v>97</v>
      </c>
      <c r="C81" s="14" t="s">
        <v>98</v>
      </c>
      <c r="D81" s="14" t="s">
        <v>99</v>
      </c>
      <c r="E81" s="14" t="s">
        <v>31</v>
      </c>
      <c r="F81" s="15">
        <v>2020</v>
      </c>
      <c r="G81" s="16">
        <v>7026591</v>
      </c>
      <c r="H81" s="17">
        <v>259358000</v>
      </c>
      <c r="I81" s="17"/>
      <c r="J81" s="17"/>
      <c r="K81" s="17">
        <v>10216000</v>
      </c>
      <c r="L81" s="17">
        <v>6872000</v>
      </c>
      <c r="M81" s="17">
        <v>11476000</v>
      </c>
      <c r="N81" s="17">
        <v>42428000</v>
      </c>
      <c r="O81" s="17"/>
      <c r="P81" s="17">
        <v>3255000</v>
      </c>
      <c r="Q81" s="17"/>
      <c r="R81" s="17"/>
      <c r="S81" s="17">
        <v>210777000</v>
      </c>
      <c r="T81" s="17">
        <v>-82485000</v>
      </c>
      <c r="U81" s="17">
        <v>117974000</v>
      </c>
      <c r="V81" s="17">
        <v>2075688000</v>
      </c>
      <c r="W81" s="18">
        <v>137326000</v>
      </c>
      <c r="X81" s="6" t="s">
        <v>32</v>
      </c>
      <c r="Y81" s="6" t="s">
        <v>100</v>
      </c>
      <c r="Z81" s="6" t="s">
        <v>62</v>
      </c>
      <c r="AA81" s="6" t="s">
        <v>63</v>
      </c>
    </row>
    <row r="82" spans="1:27" ht="12" customHeight="1">
      <c r="A82" s="14" t="s">
        <v>96</v>
      </c>
      <c r="B82" s="14" t="s">
        <v>97</v>
      </c>
      <c r="C82" s="14" t="s">
        <v>98</v>
      </c>
      <c r="D82" s="14" t="s">
        <v>99</v>
      </c>
      <c r="E82" s="14" t="s">
        <v>31</v>
      </c>
      <c r="F82" s="15">
        <v>2021</v>
      </c>
      <c r="G82" s="16">
        <v>11782602</v>
      </c>
      <c r="H82" s="17">
        <v>335784000</v>
      </c>
      <c r="I82" s="17"/>
      <c r="J82" s="17"/>
      <c r="K82" s="17">
        <v>14784000</v>
      </c>
      <c r="L82" s="17">
        <v>9200000</v>
      </c>
      <c r="M82" s="17">
        <v>21205000</v>
      </c>
      <c r="N82" s="17">
        <v>70370000</v>
      </c>
      <c r="O82" s="17"/>
      <c r="P82" s="17">
        <v>2922000</v>
      </c>
      <c r="Q82" s="17"/>
      <c r="R82" s="17"/>
      <c r="S82" s="17">
        <v>227090000</v>
      </c>
      <c r="T82" s="17">
        <v>-25494000</v>
      </c>
      <c r="U82" s="17">
        <v>55597000</v>
      </c>
      <c r="V82" s="17">
        <v>2162436000</v>
      </c>
      <c r="W82" s="18">
        <v>168823000</v>
      </c>
      <c r="X82" s="6" t="s">
        <v>32</v>
      </c>
      <c r="Y82" s="6" t="s">
        <v>100</v>
      </c>
      <c r="Z82" s="6" t="s">
        <v>62</v>
      </c>
      <c r="AA82" s="6" t="s">
        <v>63</v>
      </c>
    </row>
    <row r="83" spans="1:27" ht="12" customHeight="1">
      <c r="A83" s="14" t="s">
        <v>96</v>
      </c>
      <c r="B83" s="14" t="s">
        <v>97</v>
      </c>
      <c r="C83" s="14" t="s">
        <v>98</v>
      </c>
      <c r="D83" s="14" t="s">
        <v>99</v>
      </c>
      <c r="E83" s="14" t="s">
        <v>31</v>
      </c>
      <c r="F83" s="15">
        <v>2022</v>
      </c>
      <c r="G83" s="16">
        <v>14052931</v>
      </c>
      <c r="H83" s="17">
        <v>356154000</v>
      </c>
      <c r="I83" s="17"/>
      <c r="J83" s="17"/>
      <c r="K83" s="17">
        <v>17231000</v>
      </c>
      <c r="L83" s="17">
        <v>10544000</v>
      </c>
      <c r="M83" s="17">
        <v>25401000</v>
      </c>
      <c r="N83" s="17">
        <v>97996000</v>
      </c>
      <c r="O83" s="17"/>
      <c r="P83" s="17">
        <v>3573000</v>
      </c>
      <c r="Q83" s="17"/>
      <c r="R83" s="17"/>
      <c r="S83" s="17">
        <v>248905000</v>
      </c>
      <c r="T83" s="17">
        <v>-16557000</v>
      </c>
      <c r="U83" s="17">
        <v>80436000</v>
      </c>
      <c r="V83" s="17">
        <v>2050437000</v>
      </c>
      <c r="W83" s="18">
        <v>139237000</v>
      </c>
      <c r="X83" s="6" t="s">
        <v>32</v>
      </c>
      <c r="Y83" s="6" t="s">
        <v>100</v>
      </c>
      <c r="Z83" s="6" t="s">
        <v>62</v>
      </c>
      <c r="AA83" s="6" t="s">
        <v>63</v>
      </c>
    </row>
    <row r="84" spans="1:27" ht="12" customHeight="1">
      <c r="A84" s="14" t="s">
        <v>96</v>
      </c>
      <c r="B84" s="14" t="s">
        <v>97</v>
      </c>
      <c r="C84" s="14" t="s">
        <v>98</v>
      </c>
      <c r="D84" s="14" t="s">
        <v>99</v>
      </c>
      <c r="E84" s="14" t="s">
        <v>31</v>
      </c>
      <c r="F84" s="15">
        <v>2023</v>
      </c>
      <c r="G84" s="16">
        <v>15698444</v>
      </c>
      <c r="H84" s="17">
        <v>390399000</v>
      </c>
      <c r="I84" s="17"/>
      <c r="J84" s="17"/>
      <c r="K84" s="17">
        <v>21580000</v>
      </c>
      <c r="L84" s="17">
        <v>13295000</v>
      </c>
      <c r="M84" s="17">
        <v>29408000</v>
      </c>
      <c r="N84" s="17">
        <v>113413000</v>
      </c>
      <c r="O84" s="17"/>
      <c r="P84" s="17">
        <v>4584000</v>
      </c>
      <c r="Q84" s="17"/>
      <c r="R84" s="17"/>
      <c r="S84" s="17">
        <v>308998000</v>
      </c>
      <c r="T84" s="17">
        <v>-34705000</v>
      </c>
      <c r="U84" s="17">
        <v>168993000</v>
      </c>
      <c r="V84" s="17">
        <v>2129327000</v>
      </c>
      <c r="W84" s="18">
        <v>137875000</v>
      </c>
      <c r="X84" s="6" t="s">
        <v>32</v>
      </c>
      <c r="Y84" s="6" t="s">
        <v>100</v>
      </c>
      <c r="Z84" s="6" t="s">
        <v>62</v>
      </c>
      <c r="AA84" s="6" t="s">
        <v>63</v>
      </c>
    </row>
    <row r="85" spans="1:27" ht="12" customHeight="1">
      <c r="A85" s="14" t="s">
        <v>96</v>
      </c>
      <c r="B85" s="14" t="s">
        <v>97</v>
      </c>
      <c r="C85" s="14" t="s">
        <v>98</v>
      </c>
      <c r="D85" s="14" t="s">
        <v>99</v>
      </c>
      <c r="E85" s="14" t="s">
        <v>31</v>
      </c>
      <c r="F85" s="15">
        <v>2024</v>
      </c>
      <c r="G85" s="16">
        <v>16453913</v>
      </c>
      <c r="H85" s="17">
        <v>396377000</v>
      </c>
      <c r="I85" s="17"/>
      <c r="J85" s="17"/>
      <c r="K85" s="17">
        <v>15069000</v>
      </c>
      <c r="L85" s="17">
        <v>7816000</v>
      </c>
      <c r="M85" s="17">
        <v>30869000</v>
      </c>
      <c r="N85" s="17">
        <v>119603000</v>
      </c>
      <c r="O85" s="17"/>
      <c r="P85" s="17">
        <v>4859000</v>
      </c>
      <c r="Q85" s="17"/>
      <c r="R85" s="17"/>
      <c r="S85" s="17">
        <v>236232000</v>
      </c>
      <c r="T85" s="17">
        <v>41560000</v>
      </c>
      <c r="U85" s="17">
        <v>155222000</v>
      </c>
      <c r="V85" s="17">
        <v>1997805000</v>
      </c>
      <c r="W85" s="18">
        <v>146044000</v>
      </c>
      <c r="X85" s="6" t="s">
        <v>32</v>
      </c>
      <c r="Y85" s="6" t="s">
        <v>100</v>
      </c>
      <c r="Z85" s="6" t="s">
        <v>62</v>
      </c>
      <c r="AA85" s="6" t="s">
        <v>63</v>
      </c>
    </row>
    <row r="86" spans="1:27" ht="12" customHeight="1">
      <c r="A86" s="14" t="s">
        <v>101</v>
      </c>
      <c r="B86" s="14" t="s">
        <v>102</v>
      </c>
      <c r="C86" s="14" t="s">
        <v>103</v>
      </c>
      <c r="D86" s="14" t="s">
        <v>104</v>
      </c>
      <c r="E86" s="14" t="s">
        <v>31</v>
      </c>
      <c r="F86" s="15">
        <v>2019</v>
      </c>
      <c r="G86" s="16">
        <v>20832809</v>
      </c>
      <c r="H86" s="17">
        <v>738303000</v>
      </c>
      <c r="I86" s="17"/>
      <c r="J86" s="17"/>
      <c r="K86" s="17">
        <v>23580000</v>
      </c>
      <c r="L86" s="17">
        <v>19889000</v>
      </c>
      <c r="M86" s="17">
        <v>44534000</v>
      </c>
      <c r="N86" s="17">
        <v>210609000</v>
      </c>
      <c r="O86" s="17"/>
      <c r="P86" s="17">
        <v>15091000</v>
      </c>
      <c r="Q86" s="17"/>
      <c r="R86" s="17"/>
      <c r="S86" s="17">
        <v>380264000</v>
      </c>
      <c r="T86" s="17">
        <v>106371000</v>
      </c>
      <c r="U86" s="17">
        <v>637237000</v>
      </c>
      <c r="V86" s="17">
        <v>2047110000</v>
      </c>
      <c r="W86" s="18">
        <v>319648000</v>
      </c>
      <c r="X86" s="6" t="s">
        <v>32</v>
      </c>
      <c r="Y86" s="6" t="s">
        <v>105</v>
      </c>
      <c r="Z86" s="6" t="s">
        <v>62</v>
      </c>
      <c r="AA86" s="6" t="s">
        <v>63</v>
      </c>
    </row>
    <row r="87" spans="1:27" ht="12" customHeight="1">
      <c r="A87" s="14" t="s">
        <v>101</v>
      </c>
      <c r="B87" s="14" t="s">
        <v>102</v>
      </c>
      <c r="C87" s="14" t="s">
        <v>103</v>
      </c>
      <c r="D87" s="14" t="s">
        <v>104</v>
      </c>
      <c r="E87" s="14" t="s">
        <v>31</v>
      </c>
      <c r="F87" s="15">
        <v>2020</v>
      </c>
      <c r="G87" s="16">
        <v>15096578</v>
      </c>
      <c r="H87" s="17">
        <v>666088000</v>
      </c>
      <c r="I87" s="17"/>
      <c r="J87" s="17"/>
      <c r="K87" s="17">
        <v>17952000</v>
      </c>
      <c r="L87" s="17">
        <v>19481000</v>
      </c>
      <c r="M87" s="17">
        <v>40191000</v>
      </c>
      <c r="N87" s="17">
        <v>160319000</v>
      </c>
      <c r="O87" s="17"/>
      <c r="P87" s="17">
        <v>10288000</v>
      </c>
      <c r="Q87" s="17"/>
      <c r="R87" s="17"/>
      <c r="S87" s="17">
        <v>370581000</v>
      </c>
      <c r="T87" s="17">
        <v>34673000</v>
      </c>
      <c r="U87" s="17">
        <v>410502000</v>
      </c>
      <c r="V87" s="17">
        <v>2453490000</v>
      </c>
      <c r="W87" s="18">
        <v>315817000</v>
      </c>
      <c r="X87" s="6" t="s">
        <v>32</v>
      </c>
      <c r="Y87" s="6" t="s">
        <v>105</v>
      </c>
      <c r="Z87" s="6" t="s">
        <v>62</v>
      </c>
      <c r="AA87" s="6" t="s">
        <v>63</v>
      </c>
    </row>
    <row r="88" spans="1:27" ht="12" customHeight="1">
      <c r="A88" s="14" t="s">
        <v>101</v>
      </c>
      <c r="B88" s="14" t="s">
        <v>102</v>
      </c>
      <c r="C88" s="14" t="s">
        <v>103</v>
      </c>
      <c r="D88" s="14" t="s">
        <v>104</v>
      </c>
      <c r="E88" s="14" t="s">
        <v>31</v>
      </c>
      <c r="F88" s="15">
        <v>2021</v>
      </c>
      <c r="G88" s="16">
        <v>6102066</v>
      </c>
      <c r="H88" s="17">
        <v>526185000</v>
      </c>
      <c r="I88" s="17"/>
      <c r="J88" s="17"/>
      <c r="K88" s="17">
        <v>9921000</v>
      </c>
      <c r="L88" s="17">
        <v>4401000</v>
      </c>
      <c r="M88" s="17">
        <v>34954000</v>
      </c>
      <c r="N88" s="17">
        <v>64494000</v>
      </c>
      <c r="O88" s="17"/>
      <c r="P88" s="17">
        <v>1208000</v>
      </c>
      <c r="Q88" s="17"/>
      <c r="R88" s="17"/>
      <c r="S88" s="17">
        <v>321447000</v>
      </c>
      <c r="T88" s="17">
        <v>-68555000</v>
      </c>
      <c r="U88" s="17">
        <v>398625000</v>
      </c>
      <c r="V88" s="17">
        <v>2708215000</v>
      </c>
      <c r="W88" s="18">
        <v>317737000</v>
      </c>
      <c r="X88" s="6" t="s">
        <v>32</v>
      </c>
      <c r="Y88" s="6" t="s">
        <v>105</v>
      </c>
      <c r="Z88" s="6" t="s">
        <v>62</v>
      </c>
      <c r="AA88" s="6" t="s">
        <v>63</v>
      </c>
    </row>
    <row r="89" spans="1:27" ht="12" customHeight="1">
      <c r="A89" s="14" t="s">
        <v>101</v>
      </c>
      <c r="B89" s="14" t="s">
        <v>102</v>
      </c>
      <c r="C89" s="14" t="s">
        <v>103</v>
      </c>
      <c r="D89" s="14" t="s">
        <v>104</v>
      </c>
      <c r="E89" s="14" t="s">
        <v>31</v>
      </c>
      <c r="F89" s="15">
        <v>2022</v>
      </c>
      <c r="G89" s="16">
        <v>15455677</v>
      </c>
      <c r="H89" s="17">
        <v>707426000</v>
      </c>
      <c r="I89" s="17"/>
      <c r="J89" s="17"/>
      <c r="K89" s="17">
        <v>20972000</v>
      </c>
      <c r="L89" s="17">
        <v>15765000</v>
      </c>
      <c r="M89" s="17">
        <v>48062000</v>
      </c>
      <c r="N89" s="17">
        <v>177924000</v>
      </c>
      <c r="O89" s="17"/>
      <c r="P89" s="17">
        <v>4790000</v>
      </c>
      <c r="Q89" s="17"/>
      <c r="R89" s="17"/>
      <c r="S89" s="17">
        <v>343412000</v>
      </c>
      <c r="T89" s="17">
        <v>86575000</v>
      </c>
      <c r="U89" s="17">
        <v>299753000</v>
      </c>
      <c r="V89" s="17">
        <v>2564608000</v>
      </c>
      <c r="W89" s="18">
        <v>323838000</v>
      </c>
      <c r="X89" s="6" t="s">
        <v>32</v>
      </c>
      <c r="Y89" s="6" t="s">
        <v>105</v>
      </c>
      <c r="Z89" s="6" t="s">
        <v>62</v>
      </c>
      <c r="AA89" s="6" t="s">
        <v>63</v>
      </c>
    </row>
    <row r="90" spans="1:27" ht="12" customHeight="1">
      <c r="A90" s="14" t="s">
        <v>101</v>
      </c>
      <c r="B90" s="14" t="s">
        <v>102</v>
      </c>
      <c r="C90" s="14" t="s">
        <v>103</v>
      </c>
      <c r="D90" s="14" t="s">
        <v>104</v>
      </c>
      <c r="E90" s="14" t="s">
        <v>31</v>
      </c>
      <c r="F90" s="15">
        <v>2023</v>
      </c>
      <c r="G90" s="16">
        <v>19502404</v>
      </c>
      <c r="H90" s="17">
        <v>833782000</v>
      </c>
      <c r="I90" s="17"/>
      <c r="J90" s="17"/>
      <c r="K90" s="17">
        <v>27285000</v>
      </c>
      <c r="L90" s="17">
        <v>20467000</v>
      </c>
      <c r="M90" s="17">
        <v>54868000</v>
      </c>
      <c r="N90" s="17">
        <v>233397000</v>
      </c>
      <c r="O90" s="17"/>
      <c r="P90" s="17">
        <v>11416000</v>
      </c>
      <c r="Q90" s="17"/>
      <c r="R90" s="17"/>
      <c r="S90" s="17">
        <v>395390000</v>
      </c>
      <c r="T90" s="17">
        <v>154686000</v>
      </c>
      <c r="U90" s="17">
        <v>277778000</v>
      </c>
      <c r="V90" s="17">
        <v>2655365000</v>
      </c>
      <c r="W90" s="18">
        <v>354838000</v>
      </c>
      <c r="X90" s="6" t="s">
        <v>32</v>
      </c>
      <c r="Y90" s="6" t="s">
        <v>105</v>
      </c>
      <c r="Z90" s="6" t="s">
        <v>62</v>
      </c>
      <c r="AA90" s="6" t="s">
        <v>63</v>
      </c>
    </row>
    <row r="91" spans="1:27" ht="12" customHeight="1">
      <c r="A91" s="14" t="s">
        <v>101</v>
      </c>
      <c r="B91" s="14" t="s">
        <v>102</v>
      </c>
      <c r="C91" s="14" t="s">
        <v>103</v>
      </c>
      <c r="D91" s="14" t="s">
        <v>104</v>
      </c>
      <c r="E91" s="14" t="s">
        <v>31</v>
      </c>
      <c r="F91" s="15">
        <v>2024</v>
      </c>
      <c r="G91" s="16">
        <v>20785267</v>
      </c>
      <c r="H91" s="17">
        <v>983464000</v>
      </c>
      <c r="I91" s="17"/>
      <c r="J91" s="17"/>
      <c r="K91" s="17">
        <v>39303000</v>
      </c>
      <c r="L91" s="17">
        <v>20670000</v>
      </c>
      <c r="M91" s="17">
        <v>56194000</v>
      </c>
      <c r="N91" s="17">
        <v>258211000</v>
      </c>
      <c r="O91" s="17"/>
      <c r="P91" s="17">
        <v>14793000</v>
      </c>
      <c r="Q91" s="17"/>
      <c r="R91" s="17"/>
      <c r="S91" s="17">
        <v>476938000</v>
      </c>
      <c r="T91" s="17">
        <v>195538000</v>
      </c>
      <c r="U91" s="17">
        <v>285856000</v>
      </c>
      <c r="V91" s="17">
        <v>2689395000</v>
      </c>
      <c r="W91" s="18">
        <v>451416000</v>
      </c>
      <c r="X91" s="6" t="s">
        <v>32</v>
      </c>
      <c r="Y91" s="6" t="s">
        <v>105</v>
      </c>
      <c r="Z91" s="6" t="s">
        <v>62</v>
      </c>
      <c r="AA91" s="6" t="s">
        <v>63</v>
      </c>
    </row>
    <row r="92" spans="1:27" ht="12" customHeight="1">
      <c r="A92" s="14" t="s">
        <v>106</v>
      </c>
      <c r="B92" s="14" t="s">
        <v>107</v>
      </c>
      <c r="C92" s="14" t="s">
        <v>108</v>
      </c>
      <c r="D92" s="14" t="s">
        <v>82</v>
      </c>
      <c r="E92" s="14" t="s">
        <v>31</v>
      </c>
      <c r="F92" s="15">
        <v>2019</v>
      </c>
      <c r="G92" s="16">
        <v>18164427</v>
      </c>
      <c r="H92" s="17">
        <v>306141000</v>
      </c>
      <c r="I92" s="17"/>
      <c r="J92" s="17"/>
      <c r="K92" s="17">
        <v>21037000</v>
      </c>
      <c r="L92" s="17">
        <v>10968000</v>
      </c>
      <c r="M92" s="17">
        <v>33001000</v>
      </c>
      <c r="N92" s="17">
        <v>61565000</v>
      </c>
      <c r="O92" s="17"/>
      <c r="P92" s="17">
        <v>5046000</v>
      </c>
      <c r="Q92" s="17"/>
      <c r="R92" s="17"/>
      <c r="S92" s="17">
        <v>196692000</v>
      </c>
      <c r="T92" s="17">
        <v>-16623000</v>
      </c>
      <c r="U92" s="17">
        <v>202862000</v>
      </c>
      <c r="V92" s="17">
        <v>2027095000</v>
      </c>
      <c r="W92" s="18">
        <v>125087000</v>
      </c>
      <c r="X92" s="6" t="s">
        <v>32</v>
      </c>
      <c r="Y92" s="6" t="s">
        <v>109</v>
      </c>
      <c r="Z92" s="6" t="s">
        <v>62</v>
      </c>
      <c r="AA92" s="6" t="s">
        <v>63</v>
      </c>
    </row>
    <row r="93" spans="1:27" ht="12" customHeight="1">
      <c r="A93" s="14" t="s">
        <v>106</v>
      </c>
      <c r="B93" s="14" t="s">
        <v>107</v>
      </c>
      <c r="C93" s="14" t="s">
        <v>108</v>
      </c>
      <c r="D93" s="14" t="s">
        <v>82</v>
      </c>
      <c r="E93" s="14" t="s">
        <v>31</v>
      </c>
      <c r="F93" s="15">
        <v>2020</v>
      </c>
      <c r="G93" s="16">
        <v>10683612</v>
      </c>
      <c r="H93" s="17">
        <v>342576000</v>
      </c>
      <c r="I93" s="17"/>
      <c r="J93" s="17"/>
      <c r="K93" s="17">
        <v>11330000</v>
      </c>
      <c r="L93" s="17">
        <v>6856000</v>
      </c>
      <c r="M93" s="17">
        <v>27851000</v>
      </c>
      <c r="N93" s="17">
        <v>33614000</v>
      </c>
      <c r="O93" s="17"/>
      <c r="P93" s="17">
        <v>4193000</v>
      </c>
      <c r="Q93" s="17"/>
      <c r="R93" s="17"/>
      <c r="S93" s="17">
        <v>171342000</v>
      </c>
      <c r="T93" s="17">
        <v>46989000</v>
      </c>
      <c r="U93" s="17">
        <v>231314000</v>
      </c>
      <c r="V93" s="17">
        <v>2458865000</v>
      </c>
      <c r="W93" s="18">
        <v>115117000</v>
      </c>
      <c r="X93" s="6" t="s">
        <v>32</v>
      </c>
      <c r="Y93" s="6" t="s">
        <v>109</v>
      </c>
      <c r="Z93" s="6" t="s">
        <v>62</v>
      </c>
      <c r="AA93" s="6" t="s">
        <v>63</v>
      </c>
    </row>
    <row r="94" spans="1:27" ht="12" customHeight="1">
      <c r="A94" s="14" t="s">
        <v>106</v>
      </c>
      <c r="B94" s="14" t="s">
        <v>107</v>
      </c>
      <c r="C94" s="14" t="s">
        <v>108</v>
      </c>
      <c r="D94" s="14" t="s">
        <v>82</v>
      </c>
      <c r="E94" s="14" t="s">
        <v>31</v>
      </c>
      <c r="F94" s="15">
        <v>2021</v>
      </c>
      <c r="G94" s="16">
        <v>12482905</v>
      </c>
      <c r="H94" s="17">
        <v>295199000</v>
      </c>
      <c r="I94" s="17"/>
      <c r="J94" s="17"/>
      <c r="K94" s="17">
        <v>13658000</v>
      </c>
      <c r="L94" s="17">
        <v>9838000</v>
      </c>
      <c r="M94" s="17">
        <v>39448000</v>
      </c>
      <c r="N94" s="17">
        <v>39417000</v>
      </c>
      <c r="O94" s="17"/>
      <c r="P94" s="17">
        <v>5524000</v>
      </c>
      <c r="Q94" s="17"/>
      <c r="R94" s="17"/>
      <c r="S94" s="17">
        <v>159830000</v>
      </c>
      <c r="T94" s="17">
        <v>3589000</v>
      </c>
      <c r="U94" s="17">
        <v>152635000</v>
      </c>
      <c r="V94" s="17">
        <v>2374770000</v>
      </c>
      <c r="W94" s="18">
        <v>136806000</v>
      </c>
      <c r="X94" s="6" t="s">
        <v>32</v>
      </c>
      <c r="Y94" s="6" t="s">
        <v>109</v>
      </c>
      <c r="Z94" s="6" t="s">
        <v>62</v>
      </c>
      <c r="AA94" s="6" t="s">
        <v>63</v>
      </c>
    </row>
    <row r="95" spans="1:27" ht="12" customHeight="1">
      <c r="A95" s="14" t="s">
        <v>106</v>
      </c>
      <c r="B95" s="14" t="s">
        <v>107</v>
      </c>
      <c r="C95" s="14" t="s">
        <v>108</v>
      </c>
      <c r="D95" s="14" t="s">
        <v>82</v>
      </c>
      <c r="E95" s="14" t="s">
        <v>31</v>
      </c>
      <c r="F95" s="15">
        <v>2022</v>
      </c>
      <c r="G95" s="16">
        <v>15397295</v>
      </c>
      <c r="H95" s="17">
        <v>313834000</v>
      </c>
      <c r="I95" s="17"/>
      <c r="J95" s="17"/>
      <c r="K95" s="17">
        <v>12168000</v>
      </c>
      <c r="L95" s="17">
        <v>6127000</v>
      </c>
      <c r="M95" s="17">
        <v>43914000</v>
      </c>
      <c r="N95" s="17">
        <v>61899000</v>
      </c>
      <c r="O95" s="17"/>
      <c r="P95" s="17">
        <v>4008000</v>
      </c>
      <c r="Q95" s="17"/>
      <c r="R95" s="17"/>
      <c r="S95" s="17">
        <v>216975000</v>
      </c>
      <c r="T95" s="17">
        <v>-41397000</v>
      </c>
      <c r="U95" s="17">
        <v>80688000</v>
      </c>
      <c r="V95" s="17">
        <v>2284115000</v>
      </c>
      <c r="W95" s="18">
        <v>123494000</v>
      </c>
      <c r="X95" s="6" t="s">
        <v>32</v>
      </c>
      <c r="Y95" s="6" t="s">
        <v>109</v>
      </c>
      <c r="Z95" s="6" t="s">
        <v>62</v>
      </c>
      <c r="AA95" s="6" t="s">
        <v>63</v>
      </c>
    </row>
    <row r="96" spans="1:27" ht="12" customHeight="1">
      <c r="A96" s="14" t="s">
        <v>106</v>
      </c>
      <c r="B96" s="14" t="s">
        <v>107</v>
      </c>
      <c r="C96" s="14" t="s">
        <v>108</v>
      </c>
      <c r="D96" s="14" t="s">
        <v>82</v>
      </c>
      <c r="E96" s="14" t="s">
        <v>31</v>
      </c>
      <c r="F96" s="15">
        <v>2023</v>
      </c>
      <c r="G96" s="16">
        <v>17116674</v>
      </c>
      <c r="H96" s="17">
        <v>304708000</v>
      </c>
      <c r="I96" s="17"/>
      <c r="J96" s="17"/>
      <c r="K96" s="17">
        <v>18450000</v>
      </c>
      <c r="L96" s="17">
        <v>12968000</v>
      </c>
      <c r="M96" s="17">
        <v>43418000</v>
      </c>
      <c r="N96" s="17">
        <v>70528000</v>
      </c>
      <c r="O96" s="17"/>
      <c r="P96" s="17">
        <v>3144000</v>
      </c>
      <c r="Q96" s="17"/>
      <c r="R96" s="17"/>
      <c r="S96" s="17">
        <v>259352000</v>
      </c>
      <c r="T96" s="17">
        <v>-115552000</v>
      </c>
      <c r="U96" s="17">
        <v>59746000</v>
      </c>
      <c r="V96" s="17">
        <v>2188870000</v>
      </c>
      <c r="W96" s="18">
        <v>125695000</v>
      </c>
      <c r="X96" s="6" t="s">
        <v>32</v>
      </c>
      <c r="Y96" s="6" t="s">
        <v>109</v>
      </c>
      <c r="Z96" s="6" t="s">
        <v>62</v>
      </c>
      <c r="AA96" s="6" t="s">
        <v>63</v>
      </c>
    </row>
    <row r="97" spans="1:27" ht="12" customHeight="1">
      <c r="A97" s="14" t="s">
        <v>106</v>
      </c>
      <c r="B97" s="14" t="s">
        <v>107</v>
      </c>
      <c r="C97" s="14" t="s">
        <v>108</v>
      </c>
      <c r="D97" s="14" t="s">
        <v>82</v>
      </c>
      <c r="E97" s="14" t="s">
        <v>31</v>
      </c>
      <c r="F97" s="15">
        <v>2024</v>
      </c>
      <c r="G97" s="16">
        <v>17741898</v>
      </c>
      <c r="H97" s="17">
        <v>340946000</v>
      </c>
      <c r="I97" s="17"/>
      <c r="J97" s="17"/>
      <c r="K97" s="17">
        <v>24024000</v>
      </c>
      <c r="L97" s="17">
        <v>14342000</v>
      </c>
      <c r="M97" s="17">
        <v>43438000</v>
      </c>
      <c r="N97" s="17">
        <v>71933000</v>
      </c>
      <c r="O97" s="17"/>
      <c r="P97" s="17">
        <v>5688000</v>
      </c>
      <c r="Q97" s="17"/>
      <c r="R97" s="17"/>
      <c r="S97" s="17">
        <v>282626000</v>
      </c>
      <c r="T97" s="17">
        <v>-98661000</v>
      </c>
      <c r="U97" s="17">
        <v>114086000</v>
      </c>
      <c r="V97" s="17">
        <v>2089210000</v>
      </c>
      <c r="W97" s="18">
        <v>181053000</v>
      </c>
      <c r="X97" s="6" t="s">
        <v>32</v>
      </c>
      <c r="Y97" s="6" t="s">
        <v>109</v>
      </c>
      <c r="Z97" s="6" t="s">
        <v>62</v>
      </c>
      <c r="AA97" s="6" t="s">
        <v>63</v>
      </c>
    </row>
    <row r="98" spans="1:27" ht="12" customHeight="1">
      <c r="A98" s="14" t="s">
        <v>110</v>
      </c>
      <c r="B98" s="14" t="s">
        <v>111</v>
      </c>
      <c r="C98" s="14" t="s">
        <v>112</v>
      </c>
      <c r="D98" s="14" t="s">
        <v>113</v>
      </c>
      <c r="E98" s="14" t="s">
        <v>31</v>
      </c>
      <c r="F98" s="15">
        <v>2019</v>
      </c>
      <c r="G98" s="16">
        <v>16088424</v>
      </c>
      <c r="H98" s="17">
        <v>427578000</v>
      </c>
      <c r="I98" s="17"/>
      <c r="J98" s="17"/>
      <c r="K98" s="17">
        <v>20432000</v>
      </c>
      <c r="L98" s="17">
        <v>18294000</v>
      </c>
      <c r="M98" s="17">
        <v>22955000</v>
      </c>
      <c r="N98" s="17">
        <v>83564000</v>
      </c>
      <c r="O98" s="17"/>
      <c r="P98" s="17">
        <v>4267000</v>
      </c>
      <c r="Q98" s="17"/>
      <c r="R98" s="17"/>
      <c r="S98" s="17">
        <v>309525000</v>
      </c>
      <c r="T98" s="17">
        <v>17374000</v>
      </c>
      <c r="U98" s="17">
        <v>107928000</v>
      </c>
      <c r="V98" s="17">
        <v>1676652000</v>
      </c>
      <c r="W98" s="18">
        <v>254007000</v>
      </c>
      <c r="X98" s="6" t="s">
        <v>32</v>
      </c>
      <c r="Y98" s="6" t="s">
        <v>114</v>
      </c>
      <c r="Z98" s="6" t="s">
        <v>62</v>
      </c>
      <c r="AA98" s="6" t="s">
        <v>63</v>
      </c>
    </row>
    <row r="99" spans="1:27" ht="12" customHeight="1">
      <c r="A99" s="14" t="s">
        <v>110</v>
      </c>
      <c r="B99" s="14" t="s">
        <v>111</v>
      </c>
      <c r="C99" s="14" t="s">
        <v>112</v>
      </c>
      <c r="D99" s="14" t="s">
        <v>113</v>
      </c>
      <c r="E99" s="14" t="s">
        <v>31</v>
      </c>
      <c r="F99" s="15">
        <v>2020</v>
      </c>
      <c r="G99" s="16">
        <v>11847407</v>
      </c>
      <c r="H99" s="17">
        <v>333783000</v>
      </c>
      <c r="I99" s="17"/>
      <c r="J99" s="17"/>
      <c r="K99" s="17">
        <v>16984000</v>
      </c>
      <c r="L99" s="17">
        <v>13629000</v>
      </c>
      <c r="M99" s="17">
        <v>19082000</v>
      </c>
      <c r="N99" s="17">
        <v>79894000</v>
      </c>
      <c r="O99" s="17"/>
      <c r="P99" s="17">
        <v>4462000</v>
      </c>
      <c r="Q99" s="17"/>
      <c r="R99" s="17"/>
      <c r="S99" s="17">
        <v>313486000</v>
      </c>
      <c r="T99" s="17">
        <v>-82096000</v>
      </c>
      <c r="U99" s="17">
        <v>109658000</v>
      </c>
      <c r="V99" s="17">
        <v>1625047000</v>
      </c>
      <c r="W99" s="18">
        <v>159543000</v>
      </c>
      <c r="X99" s="6" t="s">
        <v>32</v>
      </c>
      <c r="Y99" s="6" t="s">
        <v>114</v>
      </c>
      <c r="Z99" s="6" t="s">
        <v>62</v>
      </c>
      <c r="AA99" s="6" t="s">
        <v>63</v>
      </c>
    </row>
    <row r="100" spans="1:27" ht="12" customHeight="1">
      <c r="A100" s="14" t="s">
        <v>110</v>
      </c>
      <c r="B100" s="14" t="s">
        <v>111</v>
      </c>
      <c r="C100" s="14" t="s">
        <v>112</v>
      </c>
      <c r="D100" s="14" t="s">
        <v>113</v>
      </c>
      <c r="E100" s="14" t="s">
        <v>31</v>
      </c>
      <c r="F100" s="15">
        <v>2021</v>
      </c>
      <c r="G100" s="16">
        <v>6542642</v>
      </c>
      <c r="H100" s="17">
        <v>305774000</v>
      </c>
      <c r="I100" s="17"/>
      <c r="J100" s="17"/>
      <c r="K100" s="17">
        <v>4833000</v>
      </c>
      <c r="L100" s="17">
        <v>3985000</v>
      </c>
      <c r="M100" s="17">
        <v>17292000</v>
      </c>
      <c r="N100" s="17">
        <v>21838000</v>
      </c>
      <c r="O100" s="17"/>
      <c r="P100" s="17">
        <v>2035000</v>
      </c>
      <c r="Q100" s="17"/>
      <c r="R100" s="17"/>
      <c r="S100" s="17">
        <v>238746000</v>
      </c>
      <c r="T100" s="17">
        <v>-39511000</v>
      </c>
      <c r="U100" s="17">
        <v>138051000</v>
      </c>
      <c r="V100" s="17">
        <v>1529783000</v>
      </c>
      <c r="W100" s="18">
        <v>206198000</v>
      </c>
      <c r="X100" s="6" t="s">
        <v>32</v>
      </c>
      <c r="Y100" s="6" t="s">
        <v>114</v>
      </c>
      <c r="Z100" s="6" t="s">
        <v>62</v>
      </c>
      <c r="AA100" s="6" t="s">
        <v>63</v>
      </c>
    </row>
    <row r="101" spans="1:27" ht="12" customHeight="1">
      <c r="A101" s="14" t="s">
        <v>110</v>
      </c>
      <c r="B101" s="14" t="s">
        <v>111</v>
      </c>
      <c r="C101" s="14" t="s">
        <v>112</v>
      </c>
      <c r="D101" s="14" t="s">
        <v>113</v>
      </c>
      <c r="E101" s="14" t="s">
        <v>31</v>
      </c>
      <c r="F101" s="15">
        <v>2022</v>
      </c>
      <c r="G101" s="16">
        <v>11675322</v>
      </c>
      <c r="H101" s="17">
        <v>350002000</v>
      </c>
      <c r="I101" s="17"/>
      <c r="J101" s="17"/>
      <c r="K101" s="17">
        <v>13904000</v>
      </c>
      <c r="L101" s="17">
        <v>6394000</v>
      </c>
      <c r="M101" s="17">
        <v>26504000</v>
      </c>
      <c r="N101" s="17">
        <v>65618000</v>
      </c>
      <c r="O101" s="17"/>
      <c r="P101" s="17">
        <v>4123000</v>
      </c>
      <c r="Q101" s="17"/>
      <c r="R101" s="17"/>
      <c r="S101" s="17">
        <v>260665000</v>
      </c>
      <c r="T101" s="17">
        <v>-24879000</v>
      </c>
      <c r="U101" s="17">
        <v>163856000</v>
      </c>
      <c r="V101" s="17">
        <v>1673053000</v>
      </c>
      <c r="W101" s="18">
        <v>183645000</v>
      </c>
      <c r="X101" s="6" t="s">
        <v>32</v>
      </c>
      <c r="Y101" s="6" t="s">
        <v>114</v>
      </c>
      <c r="Z101" s="6" t="s">
        <v>62</v>
      </c>
      <c r="AA101" s="6" t="s">
        <v>63</v>
      </c>
    </row>
    <row r="102" spans="1:27" ht="12" customHeight="1">
      <c r="A102" s="14" t="s">
        <v>110</v>
      </c>
      <c r="B102" s="14" t="s">
        <v>111</v>
      </c>
      <c r="C102" s="14" t="s">
        <v>112</v>
      </c>
      <c r="D102" s="14" t="s">
        <v>113</v>
      </c>
      <c r="E102" s="14" t="s">
        <v>31</v>
      </c>
      <c r="F102" s="15">
        <v>2023</v>
      </c>
      <c r="G102" s="16">
        <v>13374796</v>
      </c>
      <c r="H102" s="17">
        <v>409691000</v>
      </c>
      <c r="I102" s="17"/>
      <c r="J102" s="17"/>
      <c r="K102" s="17">
        <v>26954000</v>
      </c>
      <c r="L102" s="17">
        <v>13156000</v>
      </c>
      <c r="M102" s="17">
        <v>26976000</v>
      </c>
      <c r="N102" s="17">
        <v>94709000</v>
      </c>
      <c r="O102" s="17"/>
      <c r="P102" s="17">
        <v>4692000</v>
      </c>
      <c r="Q102" s="17"/>
      <c r="R102" s="17"/>
      <c r="S102" s="17">
        <v>259782000</v>
      </c>
      <c r="T102" s="17">
        <v>28447000</v>
      </c>
      <c r="U102" s="17">
        <v>143806000</v>
      </c>
      <c r="V102" s="17">
        <v>1658208000</v>
      </c>
      <c r="W102" s="18">
        <v>205683000</v>
      </c>
      <c r="X102" s="6" t="s">
        <v>32</v>
      </c>
      <c r="Y102" s="6" t="s">
        <v>114</v>
      </c>
      <c r="Z102" s="6" t="s">
        <v>62</v>
      </c>
      <c r="AA102" s="6" t="s">
        <v>63</v>
      </c>
    </row>
    <row r="103" spans="1:27" ht="12" customHeight="1">
      <c r="A103" s="14" t="s">
        <v>110</v>
      </c>
      <c r="B103" s="14" t="s">
        <v>111</v>
      </c>
      <c r="C103" s="14" t="s">
        <v>112</v>
      </c>
      <c r="D103" s="14" t="s">
        <v>113</v>
      </c>
      <c r="E103" s="14" t="s">
        <v>31</v>
      </c>
      <c r="F103" s="15">
        <v>2024</v>
      </c>
      <c r="G103" s="16">
        <v>14713507</v>
      </c>
      <c r="H103" s="17">
        <v>442122000</v>
      </c>
      <c r="I103" s="17"/>
      <c r="J103" s="17"/>
      <c r="K103" s="17">
        <v>30050000</v>
      </c>
      <c r="L103" s="17">
        <v>14469000</v>
      </c>
      <c r="M103" s="17">
        <v>27557000</v>
      </c>
      <c r="N103" s="17">
        <v>104196000</v>
      </c>
      <c r="O103" s="17"/>
      <c r="P103" s="17">
        <v>5577000</v>
      </c>
      <c r="Q103" s="17"/>
      <c r="R103" s="17"/>
      <c r="S103" s="17">
        <v>304750000</v>
      </c>
      <c r="T103" s="17">
        <v>18334000</v>
      </c>
      <c r="U103" s="17">
        <v>183410000</v>
      </c>
      <c r="V103" s="17">
        <v>1638388000</v>
      </c>
      <c r="W103" s="18">
        <v>221182000</v>
      </c>
      <c r="X103" s="6" t="s">
        <v>32</v>
      </c>
      <c r="Y103" s="6" t="s">
        <v>114</v>
      </c>
      <c r="Z103" s="6" t="s">
        <v>62</v>
      </c>
      <c r="AA103" s="6" t="s">
        <v>63</v>
      </c>
    </row>
    <row r="104" spans="1:27" ht="12" customHeight="1">
      <c r="A104" s="14" t="s">
        <v>115</v>
      </c>
      <c r="B104" s="14" t="s">
        <v>116</v>
      </c>
      <c r="C104" s="14" t="s">
        <v>117</v>
      </c>
      <c r="D104" s="14" t="s">
        <v>118</v>
      </c>
      <c r="E104" s="14" t="s">
        <v>31</v>
      </c>
      <c r="F104" s="15">
        <v>2019</v>
      </c>
      <c r="G104" s="16">
        <v>19783380</v>
      </c>
      <c r="H104" s="17">
        <v>378675000</v>
      </c>
      <c r="I104" s="17"/>
      <c r="J104" s="17"/>
      <c r="K104" s="17">
        <v>25499000</v>
      </c>
      <c r="L104" s="17">
        <v>11037000</v>
      </c>
      <c r="M104" s="17">
        <v>21754000</v>
      </c>
      <c r="N104" s="17">
        <v>123257000</v>
      </c>
      <c r="O104" s="17"/>
      <c r="P104" s="17">
        <v>7719000</v>
      </c>
      <c r="Q104" s="17"/>
      <c r="R104" s="17"/>
      <c r="S104" s="17">
        <v>201074000</v>
      </c>
      <c r="T104" s="17">
        <v>28443000</v>
      </c>
      <c r="U104" s="17">
        <v>570557000</v>
      </c>
      <c r="V104" s="17">
        <v>1666297000</v>
      </c>
      <c r="W104" s="18">
        <v>137644000</v>
      </c>
      <c r="X104" s="6" t="s">
        <v>32</v>
      </c>
      <c r="Y104" s="6" t="s">
        <v>119</v>
      </c>
      <c r="Z104" s="6" t="s">
        <v>62</v>
      </c>
      <c r="AA104" s="6" t="s">
        <v>63</v>
      </c>
    </row>
    <row r="105" spans="1:27" ht="12" customHeight="1">
      <c r="A105" s="14" t="s">
        <v>115</v>
      </c>
      <c r="B105" s="14" t="s">
        <v>116</v>
      </c>
      <c r="C105" s="14" t="s">
        <v>117</v>
      </c>
      <c r="D105" s="14" t="s">
        <v>118</v>
      </c>
      <c r="E105" s="14" t="s">
        <v>31</v>
      </c>
      <c r="F105" s="15">
        <v>2020</v>
      </c>
      <c r="G105" s="16">
        <v>7415203</v>
      </c>
      <c r="H105" s="17">
        <v>218642000</v>
      </c>
      <c r="I105" s="17"/>
      <c r="J105" s="17"/>
      <c r="K105" s="17">
        <v>9974000</v>
      </c>
      <c r="L105" s="17">
        <v>2969000</v>
      </c>
      <c r="M105" s="17">
        <v>9044000</v>
      </c>
      <c r="N105" s="17">
        <v>48231000</v>
      </c>
      <c r="O105" s="17"/>
      <c r="P105" s="17">
        <v>4146000</v>
      </c>
      <c r="Q105" s="17"/>
      <c r="R105" s="17"/>
      <c r="S105" s="17">
        <v>174544000</v>
      </c>
      <c r="T105" s="17">
        <v>-116212000</v>
      </c>
      <c r="U105" s="17">
        <v>221831000</v>
      </c>
      <c r="V105" s="17">
        <v>1481376000</v>
      </c>
      <c r="W105" s="18">
        <v>98460000</v>
      </c>
      <c r="X105" s="6" t="s">
        <v>32</v>
      </c>
      <c r="Y105" s="6" t="s">
        <v>119</v>
      </c>
      <c r="Z105" s="6" t="s">
        <v>62</v>
      </c>
      <c r="AA105" s="6" t="s">
        <v>63</v>
      </c>
    </row>
    <row r="106" spans="1:27" ht="12" customHeight="1">
      <c r="A106" s="14" t="s">
        <v>115</v>
      </c>
      <c r="B106" s="14" t="s">
        <v>116</v>
      </c>
      <c r="C106" s="14" t="s">
        <v>117</v>
      </c>
      <c r="D106" s="14" t="s">
        <v>118</v>
      </c>
      <c r="E106" s="14" t="s">
        <v>31</v>
      </c>
      <c r="F106" s="15">
        <v>2021</v>
      </c>
      <c r="G106" s="16">
        <v>12581412</v>
      </c>
      <c r="H106" s="17">
        <v>294014000</v>
      </c>
      <c r="I106" s="17"/>
      <c r="J106" s="17"/>
      <c r="K106" s="17">
        <v>15953000</v>
      </c>
      <c r="L106" s="17">
        <v>6807000</v>
      </c>
      <c r="M106" s="17">
        <v>17365000</v>
      </c>
      <c r="N106" s="17">
        <v>74533000</v>
      </c>
      <c r="O106" s="17"/>
      <c r="P106" s="17">
        <v>4877000</v>
      </c>
      <c r="Q106" s="17"/>
      <c r="R106" s="17"/>
      <c r="S106" s="17">
        <v>170759000</v>
      </c>
      <c r="T106" s="17">
        <v>-54732000</v>
      </c>
      <c r="U106" s="17">
        <v>188295000</v>
      </c>
      <c r="V106" s="17">
        <v>1423167000</v>
      </c>
      <c r="W106" s="18">
        <v>123748000</v>
      </c>
      <c r="X106" s="6" t="s">
        <v>32</v>
      </c>
      <c r="Y106" s="6" t="s">
        <v>119</v>
      </c>
      <c r="Z106" s="6" t="s">
        <v>62</v>
      </c>
      <c r="AA106" s="6" t="s">
        <v>63</v>
      </c>
    </row>
    <row r="107" spans="1:27" ht="12" customHeight="1">
      <c r="A107" s="14" t="s">
        <v>115</v>
      </c>
      <c r="B107" s="14" t="s">
        <v>116</v>
      </c>
      <c r="C107" s="14" t="s">
        <v>117</v>
      </c>
      <c r="D107" s="14" t="s">
        <v>118</v>
      </c>
      <c r="E107" s="14" t="s">
        <v>31</v>
      </c>
      <c r="F107" s="15">
        <v>2022</v>
      </c>
      <c r="G107" s="16">
        <v>15614084</v>
      </c>
      <c r="H107" s="17">
        <v>353004000</v>
      </c>
      <c r="I107" s="17"/>
      <c r="J107" s="17"/>
      <c r="K107" s="17">
        <v>17046000</v>
      </c>
      <c r="L107" s="17">
        <v>7182000</v>
      </c>
      <c r="M107" s="17">
        <v>23159000</v>
      </c>
      <c r="N107" s="17">
        <v>116583000</v>
      </c>
      <c r="O107" s="17"/>
      <c r="P107" s="17">
        <v>-1491000</v>
      </c>
      <c r="Q107" s="17"/>
      <c r="R107" s="17"/>
      <c r="S107" s="17">
        <v>207703000</v>
      </c>
      <c r="T107" s="17">
        <v>-39823000</v>
      </c>
      <c r="U107" s="17">
        <v>218902000</v>
      </c>
      <c r="V107" s="17">
        <v>1653610000</v>
      </c>
      <c r="W107" s="18">
        <v>131375000</v>
      </c>
      <c r="X107" s="6" t="s">
        <v>32</v>
      </c>
      <c r="Y107" s="6" t="s">
        <v>119</v>
      </c>
      <c r="Z107" s="6" t="s">
        <v>62</v>
      </c>
      <c r="AA107" s="6" t="s">
        <v>63</v>
      </c>
    </row>
    <row r="108" spans="1:27" ht="12" customHeight="1">
      <c r="A108" s="14" t="s">
        <v>115</v>
      </c>
      <c r="B108" s="14" t="s">
        <v>116</v>
      </c>
      <c r="C108" s="14" t="s">
        <v>117</v>
      </c>
      <c r="D108" s="14" t="s">
        <v>118</v>
      </c>
      <c r="E108" s="14" t="s">
        <v>31</v>
      </c>
      <c r="F108" s="15">
        <v>2023</v>
      </c>
      <c r="G108" s="16">
        <v>16887115</v>
      </c>
      <c r="H108" s="17">
        <v>439900000</v>
      </c>
      <c r="I108" s="17"/>
      <c r="J108" s="17"/>
      <c r="K108" s="17">
        <v>29590000</v>
      </c>
      <c r="L108" s="17">
        <v>10342000</v>
      </c>
      <c r="M108" s="17">
        <v>23312000</v>
      </c>
      <c r="N108" s="17">
        <v>139717000</v>
      </c>
      <c r="O108" s="17"/>
      <c r="P108" s="17">
        <v>-1160000</v>
      </c>
      <c r="Q108" s="17"/>
      <c r="R108" s="17"/>
      <c r="S108" s="17">
        <v>241318000</v>
      </c>
      <c r="T108" s="17">
        <v>11693000</v>
      </c>
      <c r="U108" s="17">
        <v>257740000</v>
      </c>
      <c r="V108" s="17">
        <v>1583306000</v>
      </c>
      <c r="W108" s="18">
        <v>170619000</v>
      </c>
      <c r="X108" s="6" t="s">
        <v>32</v>
      </c>
      <c r="Y108" s="6" t="s">
        <v>119</v>
      </c>
      <c r="Z108" s="6" t="s">
        <v>62</v>
      </c>
      <c r="AA108" s="6" t="s">
        <v>63</v>
      </c>
    </row>
    <row r="109" spans="1:27" ht="12" customHeight="1">
      <c r="A109" s="14" t="s">
        <v>115</v>
      </c>
      <c r="B109" s="14" t="s">
        <v>116</v>
      </c>
      <c r="C109" s="14" t="s">
        <v>117</v>
      </c>
      <c r="D109" s="14" t="s">
        <v>118</v>
      </c>
      <c r="E109" s="14" t="s">
        <v>31</v>
      </c>
      <c r="F109" s="15">
        <v>2024</v>
      </c>
      <c r="G109" s="16">
        <v>18064839</v>
      </c>
      <c r="H109" s="17">
        <v>484602000</v>
      </c>
      <c r="I109" s="17"/>
      <c r="J109" s="17"/>
      <c r="K109" s="17">
        <v>31479000</v>
      </c>
      <c r="L109" s="17">
        <v>10775000</v>
      </c>
      <c r="M109" s="17">
        <v>24243000</v>
      </c>
      <c r="N109" s="17">
        <v>147132000</v>
      </c>
      <c r="O109" s="17"/>
      <c r="P109" s="17">
        <v>-488000</v>
      </c>
      <c r="Q109" s="17"/>
      <c r="R109" s="17"/>
      <c r="S109" s="17">
        <v>261647000</v>
      </c>
      <c r="T109" s="17">
        <v>26898000</v>
      </c>
      <c r="U109" s="17">
        <v>415954000</v>
      </c>
      <c r="V109" s="17">
        <v>2180402000</v>
      </c>
      <c r="W109" s="18">
        <v>199875000</v>
      </c>
      <c r="X109" s="6" t="s">
        <v>32</v>
      </c>
      <c r="Y109" s="6" t="s">
        <v>119</v>
      </c>
      <c r="Z109" s="6" t="s">
        <v>62</v>
      </c>
      <c r="AA109" s="6" t="s">
        <v>63</v>
      </c>
    </row>
    <row r="110" spans="1:27" ht="12" customHeight="1">
      <c r="A110" s="14" t="s">
        <v>120</v>
      </c>
      <c r="B110" s="14" t="s">
        <v>121</v>
      </c>
      <c r="C110" s="14" t="s">
        <v>122</v>
      </c>
      <c r="D110" s="14" t="s">
        <v>123</v>
      </c>
      <c r="E110" s="14" t="s">
        <v>31</v>
      </c>
      <c r="F110" s="15">
        <v>2019</v>
      </c>
      <c r="G110" s="16">
        <v>13090133</v>
      </c>
      <c r="H110" s="17">
        <v>173463000</v>
      </c>
      <c r="I110" s="17"/>
      <c r="J110" s="17"/>
      <c r="K110" s="17">
        <v>12196000</v>
      </c>
      <c r="L110" s="17">
        <v>6806000</v>
      </c>
      <c r="M110" s="17">
        <v>29856000</v>
      </c>
      <c r="N110" s="17">
        <v>42558000</v>
      </c>
      <c r="O110" s="17"/>
      <c r="P110" s="17">
        <v>1452000</v>
      </c>
      <c r="Q110" s="17"/>
      <c r="R110" s="17"/>
      <c r="S110" s="17">
        <v>98435000</v>
      </c>
      <c r="T110" s="17">
        <v>11479000</v>
      </c>
      <c r="U110" s="17">
        <v>749496000</v>
      </c>
      <c r="V110" s="17">
        <v>2047343000</v>
      </c>
      <c r="W110" s="18">
        <v>56004000</v>
      </c>
      <c r="X110" s="6" t="s">
        <v>32</v>
      </c>
      <c r="Y110" s="6" t="s">
        <v>124</v>
      </c>
      <c r="Z110" s="6" t="s">
        <v>62</v>
      </c>
      <c r="AA110" s="6" t="s">
        <v>63</v>
      </c>
    </row>
    <row r="111" spans="1:27" ht="12" customHeight="1">
      <c r="A111" s="14" t="s">
        <v>120</v>
      </c>
      <c r="B111" s="14" t="s">
        <v>121</v>
      </c>
      <c r="C111" s="14" t="s">
        <v>122</v>
      </c>
      <c r="D111" s="14" t="s">
        <v>123</v>
      </c>
      <c r="E111" s="14" t="s">
        <v>31</v>
      </c>
      <c r="F111" s="15">
        <v>2020</v>
      </c>
      <c r="G111" s="16">
        <v>10095732</v>
      </c>
      <c r="H111" s="17">
        <v>161326000</v>
      </c>
      <c r="I111" s="17"/>
      <c r="J111" s="17"/>
      <c r="K111" s="17">
        <v>10023000</v>
      </c>
      <c r="L111" s="17">
        <v>5426000</v>
      </c>
      <c r="M111" s="17">
        <v>25372000</v>
      </c>
      <c r="N111" s="17">
        <v>33281000</v>
      </c>
      <c r="O111" s="17"/>
      <c r="P111" s="17">
        <v>1232000</v>
      </c>
      <c r="Q111" s="17"/>
      <c r="R111" s="17"/>
      <c r="S111" s="17">
        <v>109903000</v>
      </c>
      <c r="T111" s="17">
        <v>-6181000</v>
      </c>
      <c r="U111" s="17">
        <v>798415000</v>
      </c>
      <c r="V111" s="17">
        <v>2040064000</v>
      </c>
      <c r="W111" s="18">
        <v>60374000</v>
      </c>
      <c r="X111" s="6" t="s">
        <v>32</v>
      </c>
      <c r="Y111" s="6" t="s">
        <v>124</v>
      </c>
      <c r="Z111" s="6" t="s">
        <v>62</v>
      </c>
      <c r="AA111" s="6" t="s">
        <v>63</v>
      </c>
    </row>
    <row r="112" spans="1:27" ht="12" customHeight="1">
      <c r="A112" s="14" t="s">
        <v>120</v>
      </c>
      <c r="B112" s="14" t="s">
        <v>121</v>
      </c>
      <c r="C112" s="14" t="s">
        <v>122</v>
      </c>
      <c r="D112" s="14" t="s">
        <v>123</v>
      </c>
      <c r="E112" s="14" t="s">
        <v>31</v>
      </c>
      <c r="F112" s="15">
        <v>2021</v>
      </c>
      <c r="G112" s="16">
        <v>7710155</v>
      </c>
      <c r="H112" s="17">
        <v>184684000</v>
      </c>
      <c r="I112" s="17"/>
      <c r="J112" s="17"/>
      <c r="K112" s="17">
        <v>6635000</v>
      </c>
      <c r="L112" s="17">
        <v>4395000</v>
      </c>
      <c r="M112" s="17">
        <v>24317000</v>
      </c>
      <c r="N112" s="17">
        <v>26463000</v>
      </c>
      <c r="O112" s="17"/>
      <c r="P112" s="17">
        <v>1647000</v>
      </c>
      <c r="Q112" s="17"/>
      <c r="R112" s="17"/>
      <c r="S112" s="17">
        <v>123676000</v>
      </c>
      <c r="T112" s="17">
        <v>-39882000</v>
      </c>
      <c r="U112" s="17">
        <v>2814270000</v>
      </c>
      <c r="V112" s="17">
        <v>2299845000</v>
      </c>
      <c r="W112" s="18">
        <v>92674000</v>
      </c>
      <c r="X112" s="6" t="s">
        <v>32</v>
      </c>
      <c r="Y112" s="6" t="s">
        <v>124</v>
      </c>
      <c r="Z112" s="6" t="s">
        <v>62</v>
      </c>
      <c r="AA112" s="6" t="s">
        <v>63</v>
      </c>
    </row>
    <row r="113" spans="1:27" ht="12" customHeight="1">
      <c r="A113" s="14" t="s">
        <v>120</v>
      </c>
      <c r="B113" s="14" t="s">
        <v>121</v>
      </c>
      <c r="C113" s="14" t="s">
        <v>122</v>
      </c>
      <c r="D113" s="14" t="s">
        <v>123</v>
      </c>
      <c r="E113" s="14" t="s">
        <v>31</v>
      </c>
      <c r="F113" s="15">
        <v>2022</v>
      </c>
      <c r="G113" s="16">
        <v>12802218</v>
      </c>
      <c r="H113" s="17">
        <v>258944000</v>
      </c>
      <c r="I113" s="17"/>
      <c r="J113" s="17"/>
      <c r="K113" s="17">
        <v>11916000</v>
      </c>
      <c r="L113" s="17">
        <v>7764000</v>
      </c>
      <c r="M113" s="17">
        <v>35378000</v>
      </c>
      <c r="N113" s="17">
        <v>55176000</v>
      </c>
      <c r="O113" s="17"/>
      <c r="P113" s="17">
        <v>3077000</v>
      </c>
      <c r="Q113" s="17"/>
      <c r="R113" s="17"/>
      <c r="S113" s="17">
        <v>140618000</v>
      </c>
      <c r="T113" s="17">
        <v>-25693000</v>
      </c>
      <c r="U113" s="17">
        <v>482103000</v>
      </c>
      <c r="V113" s="17">
        <v>3155794000</v>
      </c>
      <c r="W113" s="18">
        <v>115500000</v>
      </c>
      <c r="X113" s="6" t="s">
        <v>32</v>
      </c>
      <c r="Y113" s="6" t="s">
        <v>124</v>
      </c>
      <c r="Z113" s="6" t="s">
        <v>62</v>
      </c>
      <c r="AA113" s="6" t="s">
        <v>63</v>
      </c>
    </row>
    <row r="114" spans="1:27" ht="12" customHeight="1">
      <c r="A114" s="14" t="s">
        <v>120</v>
      </c>
      <c r="B114" s="14" t="s">
        <v>121</v>
      </c>
      <c r="C114" s="14" t="s">
        <v>122</v>
      </c>
      <c r="D114" s="14" t="s">
        <v>123</v>
      </c>
      <c r="E114" s="14" t="s">
        <v>31</v>
      </c>
      <c r="F114" s="15">
        <v>2023</v>
      </c>
      <c r="G114" s="16">
        <v>13143110</v>
      </c>
      <c r="H114" s="17">
        <v>283327000</v>
      </c>
      <c r="I114" s="17"/>
      <c r="J114" s="17"/>
      <c r="K114" s="17">
        <v>8741000</v>
      </c>
      <c r="L114" s="17">
        <v>3319000</v>
      </c>
      <c r="M114" s="17">
        <v>36053000</v>
      </c>
      <c r="N114" s="17">
        <v>67806000</v>
      </c>
      <c r="O114" s="17"/>
      <c r="P114" s="17">
        <v>2910000</v>
      </c>
      <c r="Q114" s="17"/>
      <c r="R114" s="17"/>
      <c r="S114" s="17">
        <v>172080000</v>
      </c>
      <c r="T114" s="17">
        <v>-37203000</v>
      </c>
      <c r="U114" s="17">
        <v>538727000</v>
      </c>
      <c r="V114" s="17">
        <v>3115587000</v>
      </c>
      <c r="W114" s="18">
        <v>127630000</v>
      </c>
      <c r="X114" s="6" t="s">
        <v>32</v>
      </c>
      <c r="Y114" s="6" t="s">
        <v>124</v>
      </c>
      <c r="Z114" s="6" t="s">
        <v>62</v>
      </c>
      <c r="AA114" s="6" t="s">
        <v>63</v>
      </c>
    </row>
    <row r="115" spans="1:27" ht="12" customHeight="1">
      <c r="A115" s="14" t="s">
        <v>120</v>
      </c>
      <c r="B115" s="14" t="s">
        <v>121</v>
      </c>
      <c r="C115" s="14" t="s">
        <v>122</v>
      </c>
      <c r="D115" s="14" t="s">
        <v>123</v>
      </c>
      <c r="E115" s="14" t="s">
        <v>31</v>
      </c>
      <c r="F115" s="15">
        <v>2024</v>
      </c>
      <c r="G115" s="16">
        <v>13850416</v>
      </c>
      <c r="H115" s="17">
        <v>326657000</v>
      </c>
      <c r="I115" s="17"/>
      <c r="J115" s="17"/>
      <c r="K115" s="17">
        <v>15928000</v>
      </c>
      <c r="L115" s="17">
        <v>9806000</v>
      </c>
      <c r="M115" s="17">
        <v>39723000</v>
      </c>
      <c r="N115" s="17">
        <v>77573000</v>
      </c>
      <c r="O115" s="17"/>
      <c r="P115" s="17">
        <v>3361000</v>
      </c>
      <c r="Q115" s="17"/>
      <c r="R115" s="17"/>
      <c r="S115" s="17">
        <v>184444000</v>
      </c>
      <c r="T115" s="17">
        <v>-20485000</v>
      </c>
      <c r="U115" s="17">
        <v>1014002000</v>
      </c>
      <c r="V115" s="17">
        <v>3726998000</v>
      </c>
      <c r="W115" s="18">
        <v>144601000</v>
      </c>
      <c r="X115" s="6" t="s">
        <v>32</v>
      </c>
      <c r="Y115" s="6" t="s">
        <v>124</v>
      </c>
      <c r="Z115" s="6" t="s">
        <v>62</v>
      </c>
      <c r="AA115" s="6" t="s">
        <v>63</v>
      </c>
    </row>
    <row r="116" spans="1:27" ht="12" customHeight="1">
      <c r="A116" s="14" t="s">
        <v>125</v>
      </c>
      <c r="B116" s="14" t="s">
        <v>126</v>
      </c>
      <c r="C116" s="14" t="s">
        <v>127</v>
      </c>
      <c r="D116" s="14" t="s">
        <v>128</v>
      </c>
      <c r="E116" s="14" t="s">
        <v>31</v>
      </c>
      <c r="F116" s="15">
        <v>2019</v>
      </c>
      <c r="G116" s="16">
        <v>13415606</v>
      </c>
      <c r="H116" s="17">
        <v>247642000</v>
      </c>
      <c r="I116" s="17"/>
      <c r="J116" s="17"/>
      <c r="K116" s="17">
        <v>12060000</v>
      </c>
      <c r="L116" s="17">
        <v>6680000</v>
      </c>
      <c r="M116" s="17">
        <v>19653000</v>
      </c>
      <c r="N116" s="17">
        <v>54270000</v>
      </c>
      <c r="O116" s="17"/>
      <c r="P116" s="17">
        <v>2858000</v>
      </c>
      <c r="Q116" s="17"/>
      <c r="R116" s="17"/>
      <c r="S116" s="17">
        <v>185182000</v>
      </c>
      <c r="T116" s="17">
        <v>-37013000</v>
      </c>
      <c r="U116" s="17">
        <v>91964000</v>
      </c>
      <c r="V116" s="17">
        <v>641877000</v>
      </c>
      <c r="W116" s="18">
        <v>125146000</v>
      </c>
      <c r="X116" s="6" t="s">
        <v>32</v>
      </c>
      <c r="Y116" s="6" t="s">
        <v>129</v>
      </c>
      <c r="Z116" s="6" t="s">
        <v>62</v>
      </c>
      <c r="AA116" s="6" t="s">
        <v>63</v>
      </c>
    </row>
    <row r="117" spans="1:27" ht="12" customHeight="1">
      <c r="A117" s="14" t="s">
        <v>125</v>
      </c>
      <c r="B117" s="14" t="s">
        <v>126</v>
      </c>
      <c r="C117" s="14" t="s">
        <v>127</v>
      </c>
      <c r="D117" s="14" t="s">
        <v>128</v>
      </c>
      <c r="E117" s="14" t="s">
        <v>31</v>
      </c>
      <c r="F117" s="15">
        <v>2020</v>
      </c>
      <c r="G117" s="16">
        <v>10034304</v>
      </c>
      <c r="H117" s="17">
        <v>223246000</v>
      </c>
      <c r="I117" s="17"/>
      <c r="J117" s="17"/>
      <c r="K117" s="17">
        <v>9629000</v>
      </c>
      <c r="L117" s="17">
        <v>5356000</v>
      </c>
      <c r="M117" s="17">
        <v>15978000</v>
      </c>
      <c r="N117" s="17">
        <v>34817000</v>
      </c>
      <c r="O117" s="17"/>
      <c r="P117" s="17">
        <v>1964000</v>
      </c>
      <c r="Q117" s="17"/>
      <c r="R117" s="17"/>
      <c r="S117" s="17">
        <v>115055000</v>
      </c>
      <c r="T117" s="17">
        <v>25736000</v>
      </c>
      <c r="U117" s="17">
        <v>154583000</v>
      </c>
      <c r="V117" s="17">
        <v>600605000</v>
      </c>
      <c r="W117" s="18">
        <v>125967000</v>
      </c>
      <c r="X117" s="6" t="s">
        <v>32</v>
      </c>
      <c r="Y117" s="6" t="s">
        <v>129</v>
      </c>
      <c r="Z117" s="6" t="s">
        <v>62</v>
      </c>
      <c r="AA117" s="6" t="s">
        <v>63</v>
      </c>
    </row>
    <row r="118" spans="1:27" ht="12" customHeight="1">
      <c r="A118" s="14" t="s">
        <v>125</v>
      </c>
      <c r="B118" s="14" t="s">
        <v>126</v>
      </c>
      <c r="C118" s="14" t="s">
        <v>127</v>
      </c>
      <c r="D118" s="14" t="s">
        <v>128</v>
      </c>
      <c r="E118" s="14" t="s">
        <v>31</v>
      </c>
      <c r="F118" s="15">
        <v>2021</v>
      </c>
      <c r="G118" s="16">
        <v>6645250</v>
      </c>
      <c r="H118" s="17">
        <v>176877000</v>
      </c>
      <c r="I118" s="17"/>
      <c r="J118" s="17"/>
      <c r="K118" s="17">
        <v>5031000</v>
      </c>
      <c r="L118" s="17">
        <v>2425000</v>
      </c>
      <c r="M118" s="17">
        <v>11958000</v>
      </c>
      <c r="N118" s="17">
        <v>20052000</v>
      </c>
      <c r="O118" s="17"/>
      <c r="P118" s="17">
        <v>2066000</v>
      </c>
      <c r="Q118" s="17"/>
      <c r="R118" s="17"/>
      <c r="S118" s="17">
        <v>188939000</v>
      </c>
      <c r="T118" s="17">
        <v>-89815000</v>
      </c>
      <c r="U118" s="17">
        <v>43582000</v>
      </c>
      <c r="V118" s="17">
        <v>701554000</v>
      </c>
      <c r="W118" s="18">
        <v>109170000</v>
      </c>
      <c r="X118" s="6" t="s">
        <v>32</v>
      </c>
      <c r="Y118" s="6" t="s">
        <v>129</v>
      </c>
      <c r="Z118" s="6" t="s">
        <v>62</v>
      </c>
      <c r="AA118" s="6" t="s">
        <v>63</v>
      </c>
    </row>
    <row r="119" spans="1:27" ht="12" customHeight="1">
      <c r="A119" s="14" t="s">
        <v>125</v>
      </c>
      <c r="B119" s="14" t="s">
        <v>126</v>
      </c>
      <c r="C119" s="14" t="s">
        <v>127</v>
      </c>
      <c r="D119" s="14" t="s">
        <v>128</v>
      </c>
      <c r="E119" s="14" t="s">
        <v>31</v>
      </c>
      <c r="F119" s="15">
        <v>2022</v>
      </c>
      <c r="G119" s="16">
        <v>10694176</v>
      </c>
      <c r="H119" s="17">
        <v>349744000</v>
      </c>
      <c r="I119" s="17"/>
      <c r="J119" s="17"/>
      <c r="K119" s="17">
        <v>12028000</v>
      </c>
      <c r="L119" s="17">
        <v>5155000</v>
      </c>
      <c r="M119" s="17">
        <v>18538000</v>
      </c>
      <c r="N119" s="17">
        <v>70895000</v>
      </c>
      <c r="O119" s="17"/>
      <c r="P119" s="17">
        <v>3635000</v>
      </c>
      <c r="Q119" s="17"/>
      <c r="R119" s="17"/>
      <c r="S119" s="17">
        <v>200924000</v>
      </c>
      <c r="T119" s="17">
        <v>73798000</v>
      </c>
      <c r="U119" s="17">
        <v>40992000</v>
      </c>
      <c r="V119" s="17">
        <v>767413000</v>
      </c>
      <c r="W119" s="18">
        <v>127781000</v>
      </c>
      <c r="X119" s="6" t="s">
        <v>32</v>
      </c>
      <c r="Y119" s="6" t="s">
        <v>129</v>
      </c>
      <c r="Z119" s="6" t="s">
        <v>62</v>
      </c>
      <c r="AA119" s="6" t="s">
        <v>63</v>
      </c>
    </row>
    <row r="120" spans="1:27" ht="12" customHeight="1">
      <c r="A120" s="14" t="s">
        <v>125</v>
      </c>
      <c r="B120" s="14" t="s">
        <v>126</v>
      </c>
      <c r="C120" s="14" t="s">
        <v>127</v>
      </c>
      <c r="D120" s="14" t="s">
        <v>128</v>
      </c>
      <c r="E120" s="14" t="s">
        <v>31</v>
      </c>
      <c r="F120" s="15">
        <v>2023</v>
      </c>
      <c r="G120" s="16">
        <v>12365276</v>
      </c>
      <c r="H120" s="17">
        <v>299229000</v>
      </c>
      <c r="I120" s="17"/>
      <c r="J120" s="17"/>
      <c r="K120" s="17">
        <v>12560000</v>
      </c>
      <c r="L120" s="17">
        <v>5664000</v>
      </c>
      <c r="M120" s="17">
        <v>20053000</v>
      </c>
      <c r="N120" s="17">
        <v>84849000</v>
      </c>
      <c r="O120" s="17"/>
      <c r="P120" s="17">
        <v>4930000</v>
      </c>
      <c r="Q120" s="17"/>
      <c r="R120" s="17"/>
      <c r="S120" s="17">
        <v>212274000</v>
      </c>
      <c r="T120" s="17">
        <v>6696000</v>
      </c>
      <c r="U120" s="17">
        <v>60381000</v>
      </c>
      <c r="V120" s="17">
        <v>741810000</v>
      </c>
      <c r="W120" s="18">
        <v>132377000</v>
      </c>
      <c r="X120" s="6" t="s">
        <v>32</v>
      </c>
      <c r="Y120" s="6" t="s">
        <v>129</v>
      </c>
      <c r="Z120" s="6" t="s">
        <v>62</v>
      </c>
      <c r="AA120" s="6" t="s">
        <v>63</v>
      </c>
    </row>
    <row r="121" spans="1:27" ht="12" customHeight="1">
      <c r="A121" s="14" t="s">
        <v>125</v>
      </c>
      <c r="B121" s="14" t="s">
        <v>126</v>
      </c>
      <c r="C121" s="14" t="s">
        <v>127</v>
      </c>
      <c r="D121" s="14" t="s">
        <v>128</v>
      </c>
      <c r="E121" s="14" t="s">
        <v>31</v>
      </c>
      <c r="F121" s="15">
        <v>2024</v>
      </c>
      <c r="G121" s="16">
        <v>13496059</v>
      </c>
      <c r="H121" s="17">
        <v>310245000</v>
      </c>
      <c r="I121" s="17"/>
      <c r="J121" s="17"/>
      <c r="K121" s="17">
        <v>14956000</v>
      </c>
      <c r="L121" s="17">
        <v>6123000</v>
      </c>
      <c r="M121" s="17">
        <v>19117000</v>
      </c>
      <c r="N121" s="17">
        <v>89731000</v>
      </c>
      <c r="O121" s="17"/>
      <c r="P121" s="17">
        <v>6205000</v>
      </c>
      <c r="Q121" s="17"/>
      <c r="R121" s="17"/>
      <c r="S121" s="17">
        <v>229160000</v>
      </c>
      <c r="T121" s="17">
        <v>1427000</v>
      </c>
      <c r="U121" s="17">
        <v>272789000</v>
      </c>
      <c r="V121" s="17">
        <v>644980000</v>
      </c>
      <c r="W121" s="18">
        <v>142635000</v>
      </c>
      <c r="X121" s="6" t="s">
        <v>32</v>
      </c>
      <c r="Y121" s="6" t="s">
        <v>129</v>
      </c>
      <c r="Z121" s="6" t="s">
        <v>62</v>
      </c>
      <c r="AA121" s="6" t="s">
        <v>63</v>
      </c>
    </row>
    <row r="122" spans="1:27" ht="12" customHeight="1">
      <c r="A122" s="14" t="s">
        <v>130</v>
      </c>
      <c r="B122" s="14" t="s">
        <v>131</v>
      </c>
      <c r="C122" s="14" t="s">
        <v>132</v>
      </c>
      <c r="D122" s="14" t="s">
        <v>82</v>
      </c>
      <c r="E122" s="14" t="s">
        <v>31</v>
      </c>
      <c r="F122" s="15">
        <v>2019</v>
      </c>
      <c r="G122" s="16">
        <v>11085290</v>
      </c>
      <c r="H122" s="17">
        <v>237209000</v>
      </c>
      <c r="I122" s="17"/>
      <c r="J122" s="17"/>
      <c r="K122" s="17">
        <v>18176000</v>
      </c>
      <c r="L122" s="17">
        <v>9314000</v>
      </c>
      <c r="M122" s="17">
        <v>44919000</v>
      </c>
      <c r="N122" s="17">
        <v>80309000</v>
      </c>
      <c r="O122" s="17"/>
      <c r="P122" s="17">
        <v>5708000</v>
      </c>
      <c r="Q122" s="17"/>
      <c r="R122" s="17"/>
      <c r="S122" s="17">
        <v>154016000</v>
      </c>
      <c r="T122" s="17">
        <v>-67245000</v>
      </c>
      <c r="U122" s="17">
        <v>155683000</v>
      </c>
      <c r="V122" s="17">
        <v>1465420000</v>
      </c>
      <c r="W122" s="18">
        <v>54748000</v>
      </c>
      <c r="X122" s="6" t="s">
        <v>32</v>
      </c>
      <c r="Y122" s="6" t="s">
        <v>133</v>
      </c>
      <c r="Z122" s="6" t="s">
        <v>62</v>
      </c>
      <c r="AA122" s="6" t="s">
        <v>63</v>
      </c>
    </row>
    <row r="123" spans="1:27" ht="12" customHeight="1">
      <c r="A123" s="14" t="s">
        <v>130</v>
      </c>
      <c r="B123" s="14" t="s">
        <v>131</v>
      </c>
      <c r="C123" s="14" t="s">
        <v>132</v>
      </c>
      <c r="D123" s="14" t="s">
        <v>82</v>
      </c>
      <c r="E123" s="14" t="s">
        <v>31</v>
      </c>
      <c r="F123" s="15">
        <v>2020</v>
      </c>
      <c r="G123" s="16">
        <v>6681063</v>
      </c>
      <c r="H123" s="17">
        <v>182516000</v>
      </c>
      <c r="I123" s="17"/>
      <c r="J123" s="17"/>
      <c r="K123" s="17">
        <v>10355000</v>
      </c>
      <c r="L123" s="17">
        <v>5415000</v>
      </c>
      <c r="M123" s="17">
        <v>32603000</v>
      </c>
      <c r="N123" s="17">
        <v>45577000</v>
      </c>
      <c r="O123" s="17"/>
      <c r="P123" s="17">
        <v>2001000</v>
      </c>
      <c r="Q123" s="17"/>
      <c r="R123" s="17"/>
      <c r="S123" s="17">
        <v>148771000</v>
      </c>
      <c r="T123" s="17">
        <v>-95269000</v>
      </c>
      <c r="U123" s="17">
        <v>251577000</v>
      </c>
      <c r="V123" s="17">
        <v>1432667000</v>
      </c>
      <c r="W123" s="18">
        <v>58528000</v>
      </c>
      <c r="X123" s="6" t="s">
        <v>32</v>
      </c>
      <c r="Y123" s="6" t="s">
        <v>133</v>
      </c>
      <c r="Z123" s="6" t="s">
        <v>62</v>
      </c>
      <c r="AA123" s="6" t="s">
        <v>63</v>
      </c>
    </row>
    <row r="124" spans="1:27" ht="12" customHeight="1">
      <c r="A124" s="14" t="s">
        <v>130</v>
      </c>
      <c r="B124" s="14" t="s">
        <v>131</v>
      </c>
      <c r="C124" s="14" t="s">
        <v>132</v>
      </c>
      <c r="D124" s="14" t="s">
        <v>82</v>
      </c>
      <c r="E124" s="14" t="s">
        <v>31</v>
      </c>
      <c r="F124" s="15">
        <v>2021</v>
      </c>
      <c r="G124" s="16">
        <v>7717164</v>
      </c>
      <c r="H124" s="17">
        <v>222812000</v>
      </c>
      <c r="I124" s="17"/>
      <c r="J124" s="17"/>
      <c r="K124" s="17">
        <v>9604000</v>
      </c>
      <c r="L124" s="17">
        <v>5871000</v>
      </c>
      <c r="M124" s="17">
        <v>39205000</v>
      </c>
      <c r="N124" s="17">
        <v>50600000</v>
      </c>
      <c r="O124" s="17"/>
      <c r="P124" s="17">
        <v>2266000</v>
      </c>
      <c r="Q124" s="17"/>
      <c r="R124" s="17"/>
      <c r="S124" s="17">
        <v>133797000</v>
      </c>
      <c r="T124" s="17">
        <v>-37917000</v>
      </c>
      <c r="U124" s="17">
        <v>240071000</v>
      </c>
      <c r="V124" s="17">
        <v>1465466000</v>
      </c>
      <c r="W124" s="18">
        <v>83907000</v>
      </c>
      <c r="X124" s="6" t="s">
        <v>32</v>
      </c>
      <c r="Y124" s="6" t="s">
        <v>133</v>
      </c>
      <c r="Z124" s="6" t="s">
        <v>62</v>
      </c>
      <c r="AA124" s="6" t="s">
        <v>63</v>
      </c>
    </row>
    <row r="125" spans="1:27" ht="12" customHeight="1">
      <c r="A125" s="14" t="s">
        <v>130</v>
      </c>
      <c r="B125" s="14" t="s">
        <v>131</v>
      </c>
      <c r="C125" s="14" t="s">
        <v>132</v>
      </c>
      <c r="D125" s="14" t="s">
        <v>82</v>
      </c>
      <c r="E125" s="14" t="s">
        <v>31</v>
      </c>
      <c r="F125" s="15">
        <v>2022</v>
      </c>
      <c r="G125" s="16">
        <v>10688831</v>
      </c>
      <c r="H125" s="17">
        <v>306066000</v>
      </c>
      <c r="I125" s="17"/>
      <c r="J125" s="17"/>
      <c r="K125" s="17">
        <v>17854000</v>
      </c>
      <c r="L125" s="17">
        <v>10037000</v>
      </c>
      <c r="M125" s="17">
        <v>54112000</v>
      </c>
      <c r="N125" s="17">
        <v>88280000</v>
      </c>
      <c r="O125" s="17"/>
      <c r="P125" s="17">
        <v>3195000</v>
      </c>
      <c r="Q125" s="17"/>
      <c r="R125" s="17"/>
      <c r="S125" s="17">
        <v>166129000</v>
      </c>
      <c r="T125" s="17">
        <v>-27682000</v>
      </c>
      <c r="U125" s="17">
        <v>174315000</v>
      </c>
      <c r="V125" s="17">
        <v>1718745000</v>
      </c>
      <c r="W125" s="18">
        <v>101438000</v>
      </c>
      <c r="X125" s="6" t="s">
        <v>32</v>
      </c>
      <c r="Y125" s="6" t="s">
        <v>133</v>
      </c>
      <c r="Z125" s="6" t="s">
        <v>62</v>
      </c>
      <c r="AA125" s="6" t="s">
        <v>63</v>
      </c>
    </row>
    <row r="126" spans="1:27" ht="12" customHeight="1">
      <c r="A126" s="14" t="s">
        <v>130</v>
      </c>
      <c r="B126" s="14" t="s">
        <v>131</v>
      </c>
      <c r="C126" s="14" t="s">
        <v>132</v>
      </c>
      <c r="D126" s="14" t="s">
        <v>82</v>
      </c>
      <c r="E126" s="14" t="s">
        <v>31</v>
      </c>
      <c r="F126" s="15">
        <v>2023</v>
      </c>
      <c r="G126" s="16">
        <v>11560792</v>
      </c>
      <c r="H126" s="17">
        <v>337821000</v>
      </c>
      <c r="I126" s="17"/>
      <c r="J126" s="17"/>
      <c r="K126" s="17">
        <v>21364000</v>
      </c>
      <c r="L126" s="17">
        <v>11516000</v>
      </c>
      <c r="M126" s="17">
        <v>50325000</v>
      </c>
      <c r="N126" s="17">
        <v>103347000</v>
      </c>
      <c r="O126" s="17"/>
      <c r="P126" s="17">
        <v>4344000</v>
      </c>
      <c r="Q126" s="17"/>
      <c r="R126" s="17"/>
      <c r="S126" s="17">
        <v>190166000</v>
      </c>
      <c r="T126" s="17">
        <v>-31315000</v>
      </c>
      <c r="U126" s="17">
        <v>308562000</v>
      </c>
      <c r="V126" s="17">
        <v>1668720000</v>
      </c>
      <c r="W126" s="18">
        <v>112309000</v>
      </c>
      <c r="X126" s="6" t="s">
        <v>32</v>
      </c>
      <c r="Y126" s="6" t="s">
        <v>133</v>
      </c>
      <c r="Z126" s="6" t="s">
        <v>62</v>
      </c>
      <c r="AA126" s="6" t="s">
        <v>63</v>
      </c>
    </row>
    <row r="127" spans="1:27" ht="12" customHeight="1">
      <c r="A127" s="14" t="s">
        <v>130</v>
      </c>
      <c r="B127" s="14" t="s">
        <v>131</v>
      </c>
      <c r="C127" s="14" t="s">
        <v>132</v>
      </c>
      <c r="D127" s="14" t="s">
        <v>82</v>
      </c>
      <c r="E127" s="14" t="s">
        <v>31</v>
      </c>
      <c r="F127" s="15">
        <v>2024</v>
      </c>
      <c r="G127" s="16">
        <v>12584892</v>
      </c>
      <c r="H127" s="17">
        <v>370742000</v>
      </c>
      <c r="I127" s="17"/>
      <c r="J127" s="17"/>
      <c r="K127" s="17">
        <v>23613000</v>
      </c>
      <c r="L127" s="17">
        <v>11816000</v>
      </c>
      <c r="M127" s="17">
        <v>50767000</v>
      </c>
      <c r="N127" s="17">
        <v>113610000</v>
      </c>
      <c r="O127" s="17"/>
      <c r="P127" s="17">
        <v>4997000</v>
      </c>
      <c r="Q127" s="17"/>
      <c r="R127" s="17"/>
      <c r="S127" s="17">
        <v>192618000</v>
      </c>
      <c r="T127" s="17">
        <v>-3421000</v>
      </c>
      <c r="U127" s="17">
        <v>263757000</v>
      </c>
      <c r="V127" s="17">
        <v>2081165000</v>
      </c>
      <c r="W127" s="18">
        <v>128677000</v>
      </c>
      <c r="X127" s="6" t="s">
        <v>32</v>
      </c>
      <c r="Y127" s="6" t="s">
        <v>133</v>
      </c>
      <c r="Z127" s="6" t="s">
        <v>62</v>
      </c>
      <c r="AA127" s="6" t="s">
        <v>63</v>
      </c>
    </row>
    <row r="128" spans="1:27" ht="12" customHeight="1">
      <c r="A128" s="14" t="s">
        <v>134</v>
      </c>
      <c r="B128" s="14" t="s">
        <v>135</v>
      </c>
      <c r="C128" s="14" t="s">
        <v>136</v>
      </c>
      <c r="D128" s="14" t="s">
        <v>39</v>
      </c>
      <c r="E128" s="14" t="s">
        <v>31</v>
      </c>
      <c r="F128" s="15">
        <v>2019</v>
      </c>
      <c r="G128" s="16">
        <v>8464615</v>
      </c>
      <c r="H128" s="17">
        <v>180290000</v>
      </c>
      <c r="I128" s="17"/>
      <c r="J128" s="17"/>
      <c r="K128" s="17">
        <v>12076000</v>
      </c>
      <c r="L128" s="17">
        <v>4686000</v>
      </c>
      <c r="M128" s="17">
        <v>15693000</v>
      </c>
      <c r="N128" s="17">
        <v>47648000</v>
      </c>
      <c r="O128" s="17"/>
      <c r="P128" s="17">
        <v>4368000</v>
      </c>
      <c r="Q128" s="17"/>
      <c r="R128" s="17"/>
      <c r="S128" s="17">
        <v>131753000</v>
      </c>
      <c r="T128" s="17">
        <v>13317000</v>
      </c>
      <c r="U128" s="17">
        <v>198538000</v>
      </c>
      <c r="V128" s="17">
        <v>1024367000</v>
      </c>
      <c r="W128" s="18">
        <v>75119000</v>
      </c>
      <c r="X128" s="6" t="s">
        <v>32</v>
      </c>
      <c r="Y128" s="6" t="s">
        <v>137</v>
      </c>
      <c r="Z128" s="6" t="s">
        <v>62</v>
      </c>
      <c r="AA128" s="6" t="s">
        <v>63</v>
      </c>
    </row>
    <row r="129" spans="1:27" ht="12" customHeight="1">
      <c r="A129" s="14" t="s">
        <v>134</v>
      </c>
      <c r="B129" s="14" t="s">
        <v>135</v>
      </c>
      <c r="C129" s="14" t="s">
        <v>136</v>
      </c>
      <c r="D129" s="14" t="s">
        <v>39</v>
      </c>
      <c r="E129" s="14" t="s">
        <v>31</v>
      </c>
      <c r="F129" s="15">
        <v>2020</v>
      </c>
      <c r="G129" s="16">
        <v>4723544</v>
      </c>
      <c r="H129" s="17">
        <v>144637000</v>
      </c>
      <c r="I129" s="17"/>
      <c r="J129" s="17"/>
      <c r="K129" s="17">
        <v>7321000</v>
      </c>
      <c r="L129" s="17">
        <v>3241000</v>
      </c>
      <c r="M129" s="17">
        <v>10259000</v>
      </c>
      <c r="N129" s="17">
        <v>27322000</v>
      </c>
      <c r="O129" s="17"/>
      <c r="P129" s="17">
        <v>4698000</v>
      </c>
      <c r="Q129" s="17"/>
      <c r="R129" s="17"/>
      <c r="S129" s="17">
        <v>136823000</v>
      </c>
      <c r="T129" s="17">
        <v>-34656000</v>
      </c>
      <c r="U129" s="17">
        <v>106183000</v>
      </c>
      <c r="V129" s="17">
        <v>1009122000</v>
      </c>
      <c r="W129" s="18">
        <v>71440000</v>
      </c>
      <c r="X129" s="6" t="s">
        <v>32</v>
      </c>
      <c r="Y129" s="6" t="s">
        <v>137</v>
      </c>
      <c r="Z129" s="6" t="s">
        <v>62</v>
      </c>
      <c r="AA129" s="6" t="s">
        <v>63</v>
      </c>
    </row>
    <row r="130" spans="1:27" ht="12" customHeight="1">
      <c r="A130" s="14" t="s">
        <v>134</v>
      </c>
      <c r="B130" s="14" t="s">
        <v>135</v>
      </c>
      <c r="C130" s="14" t="s">
        <v>136</v>
      </c>
      <c r="D130" s="14" t="s">
        <v>39</v>
      </c>
      <c r="E130" s="14" t="s">
        <v>31</v>
      </c>
      <c r="F130" s="15">
        <v>2021</v>
      </c>
      <c r="G130" s="16">
        <v>5207769</v>
      </c>
      <c r="H130" s="17">
        <v>155711000</v>
      </c>
      <c r="I130" s="17"/>
      <c r="J130" s="17"/>
      <c r="K130" s="17">
        <v>7593000</v>
      </c>
      <c r="L130" s="17">
        <v>5610000</v>
      </c>
      <c r="M130" s="17">
        <v>12851000</v>
      </c>
      <c r="N130" s="17">
        <v>31569000</v>
      </c>
      <c r="O130" s="17"/>
      <c r="P130" s="17">
        <v>3955000</v>
      </c>
      <c r="Q130" s="17"/>
      <c r="R130" s="17"/>
      <c r="S130" s="17">
        <v>121776000</v>
      </c>
      <c r="T130" s="17">
        <v>-10220000</v>
      </c>
      <c r="U130" s="17">
        <v>69640000</v>
      </c>
      <c r="V130" s="17">
        <v>982245000</v>
      </c>
      <c r="W130" s="18">
        <v>72777000</v>
      </c>
      <c r="X130" s="6" t="s">
        <v>32</v>
      </c>
      <c r="Y130" s="6" t="s">
        <v>137</v>
      </c>
      <c r="Z130" s="6" t="s">
        <v>62</v>
      </c>
      <c r="AA130" s="6" t="s">
        <v>63</v>
      </c>
    </row>
    <row r="131" spans="1:27" ht="12" customHeight="1">
      <c r="A131" s="14" t="s">
        <v>134</v>
      </c>
      <c r="B131" s="14" t="s">
        <v>135</v>
      </c>
      <c r="C131" s="14" t="s">
        <v>136</v>
      </c>
      <c r="D131" s="14" t="s">
        <v>39</v>
      </c>
      <c r="E131" s="14" t="s">
        <v>31</v>
      </c>
      <c r="F131" s="15">
        <v>2022</v>
      </c>
      <c r="G131" s="16">
        <v>10133735</v>
      </c>
      <c r="H131" s="17">
        <v>231753000</v>
      </c>
      <c r="I131" s="17"/>
      <c r="J131" s="17"/>
      <c r="K131" s="17">
        <v>15648000</v>
      </c>
      <c r="L131" s="17">
        <v>6739000</v>
      </c>
      <c r="M131" s="17">
        <v>19901000</v>
      </c>
      <c r="N131" s="17">
        <v>67131000</v>
      </c>
      <c r="O131" s="17"/>
      <c r="P131" s="17">
        <v>7434000</v>
      </c>
      <c r="Q131" s="17"/>
      <c r="R131" s="17"/>
      <c r="S131" s="17">
        <v>142496000</v>
      </c>
      <c r="T131" s="17">
        <v>41500000</v>
      </c>
      <c r="U131" s="17">
        <v>56781000</v>
      </c>
      <c r="V131" s="17">
        <v>1372080000</v>
      </c>
      <c r="W131" s="18">
        <v>96964000</v>
      </c>
      <c r="X131" s="6" t="s">
        <v>32</v>
      </c>
      <c r="Y131" s="6" t="s">
        <v>137</v>
      </c>
      <c r="Z131" s="6" t="s">
        <v>62</v>
      </c>
      <c r="AA131" s="6" t="s">
        <v>63</v>
      </c>
    </row>
    <row r="132" spans="1:27" ht="12" customHeight="1">
      <c r="A132" s="14" t="s">
        <v>134</v>
      </c>
      <c r="B132" s="14" t="s">
        <v>135</v>
      </c>
      <c r="C132" s="14" t="s">
        <v>136</v>
      </c>
      <c r="D132" s="14" t="s">
        <v>39</v>
      </c>
      <c r="E132" s="14" t="s">
        <v>31</v>
      </c>
      <c r="F132" s="15">
        <v>2023</v>
      </c>
      <c r="G132" s="16">
        <v>10960717</v>
      </c>
      <c r="H132" s="17">
        <v>278512000</v>
      </c>
      <c r="I132" s="17"/>
      <c r="J132" s="17"/>
      <c r="K132" s="17">
        <v>18683000</v>
      </c>
      <c r="L132" s="17">
        <v>7089000</v>
      </c>
      <c r="M132" s="17">
        <v>20850000</v>
      </c>
      <c r="N132" s="17">
        <v>79408000</v>
      </c>
      <c r="O132" s="17"/>
      <c r="P132" s="17">
        <v>9392000</v>
      </c>
      <c r="Q132" s="17"/>
      <c r="R132" s="17"/>
      <c r="S132" s="17">
        <v>177519000</v>
      </c>
      <c r="T132" s="17">
        <v>51827000</v>
      </c>
      <c r="U132" s="17">
        <v>216216000</v>
      </c>
      <c r="V132" s="17">
        <v>1340355000</v>
      </c>
      <c r="W132" s="18">
        <v>116282000</v>
      </c>
      <c r="X132" s="6" t="s">
        <v>32</v>
      </c>
      <c r="Y132" s="6" t="s">
        <v>137</v>
      </c>
      <c r="Z132" s="6" t="s">
        <v>62</v>
      </c>
      <c r="AA132" s="6" t="s">
        <v>63</v>
      </c>
    </row>
    <row r="133" spans="1:27" ht="12" customHeight="1">
      <c r="A133" s="14" t="s">
        <v>134</v>
      </c>
      <c r="B133" s="14" t="s">
        <v>135</v>
      </c>
      <c r="C133" s="14" t="s">
        <v>136</v>
      </c>
      <c r="D133" s="14" t="s">
        <v>39</v>
      </c>
      <c r="E133" s="14" t="s">
        <v>31</v>
      </c>
      <c r="F133" s="15">
        <v>2024</v>
      </c>
      <c r="G133" s="16">
        <v>11006681</v>
      </c>
      <c r="H133" s="17">
        <v>324743000</v>
      </c>
      <c r="I133" s="17"/>
      <c r="J133" s="17"/>
      <c r="K133" s="17">
        <v>19978000</v>
      </c>
      <c r="L133" s="17">
        <v>6951000</v>
      </c>
      <c r="M133" s="17">
        <v>21620000</v>
      </c>
      <c r="N133" s="17">
        <v>86837000</v>
      </c>
      <c r="O133" s="17"/>
      <c r="P133" s="17">
        <v>10818000</v>
      </c>
      <c r="Q133" s="17"/>
      <c r="R133" s="17"/>
      <c r="S133" s="17">
        <v>167743000</v>
      </c>
      <c r="T133" s="17">
        <v>107501000</v>
      </c>
      <c r="U133" s="17">
        <v>151055000</v>
      </c>
      <c r="V133" s="17">
        <v>1307305000</v>
      </c>
      <c r="W133" s="18">
        <v>149063000</v>
      </c>
      <c r="X133" s="6" t="s">
        <v>32</v>
      </c>
      <c r="Y133" s="6" t="s">
        <v>137</v>
      </c>
      <c r="Z133" s="6" t="s">
        <v>62</v>
      </c>
      <c r="AA133" s="6" t="s">
        <v>63</v>
      </c>
    </row>
    <row r="134" spans="1:27" ht="12" customHeight="1">
      <c r="A134" s="14" t="s">
        <v>138</v>
      </c>
      <c r="B134" s="14" t="s">
        <v>139</v>
      </c>
      <c r="C134" s="14" t="s">
        <v>140</v>
      </c>
      <c r="D134" s="14" t="s">
        <v>44</v>
      </c>
      <c r="E134" s="14" t="s">
        <v>31</v>
      </c>
      <c r="F134" s="15">
        <v>2019</v>
      </c>
      <c r="G134" s="16">
        <v>12356286</v>
      </c>
      <c r="H134" s="17">
        <v>293679000</v>
      </c>
      <c r="I134" s="17"/>
      <c r="J134" s="17"/>
      <c r="K134" s="17">
        <v>13950000</v>
      </c>
      <c r="L134" s="17">
        <v>8187000</v>
      </c>
      <c r="M134" s="17">
        <v>41144000</v>
      </c>
      <c r="N134" s="17">
        <v>62550000</v>
      </c>
      <c r="O134" s="17"/>
      <c r="P134" s="17">
        <v>8377000</v>
      </c>
      <c r="Q134" s="17"/>
      <c r="R134" s="17"/>
      <c r="S134" s="17">
        <v>177219000</v>
      </c>
      <c r="T134" s="17">
        <v>-7869000</v>
      </c>
      <c r="U134" s="17">
        <v>143004000</v>
      </c>
      <c r="V134" s="17">
        <v>1595348000</v>
      </c>
      <c r="W134" s="18">
        <v>133207000</v>
      </c>
      <c r="X134" s="6" t="s">
        <v>32</v>
      </c>
      <c r="Y134" s="6" t="s">
        <v>141</v>
      </c>
      <c r="Z134" s="6" t="s">
        <v>62</v>
      </c>
      <c r="AA134" s="6" t="s">
        <v>63</v>
      </c>
    </row>
    <row r="135" spans="1:27" ht="12" customHeight="1">
      <c r="A135" s="14" t="s">
        <v>138</v>
      </c>
      <c r="B135" s="14" t="s">
        <v>139</v>
      </c>
      <c r="C135" s="14" t="s">
        <v>140</v>
      </c>
      <c r="D135" s="14" t="s">
        <v>44</v>
      </c>
      <c r="E135" s="14" t="s">
        <v>31</v>
      </c>
      <c r="F135" s="15">
        <v>2020</v>
      </c>
      <c r="G135" s="16">
        <v>9235459</v>
      </c>
      <c r="H135" s="17">
        <v>263036000</v>
      </c>
      <c r="I135" s="17"/>
      <c r="J135" s="17"/>
      <c r="K135" s="17">
        <v>10753000</v>
      </c>
      <c r="L135" s="17">
        <v>6343000</v>
      </c>
      <c r="M135" s="17">
        <v>33135000</v>
      </c>
      <c r="N135" s="17">
        <v>50530000</v>
      </c>
      <c r="O135" s="17"/>
      <c r="P135" s="17">
        <v>10858000</v>
      </c>
      <c r="Q135" s="17"/>
      <c r="R135" s="17"/>
      <c r="S135" s="17">
        <v>162251000</v>
      </c>
      <c r="T135" s="17">
        <v>-30802000</v>
      </c>
      <c r="U135" s="17">
        <v>44730000</v>
      </c>
      <c r="V135" s="17">
        <v>1881208000</v>
      </c>
      <c r="W135" s="18">
        <v>127796000</v>
      </c>
      <c r="X135" s="6" t="s">
        <v>32</v>
      </c>
      <c r="Y135" s="6" t="s">
        <v>141</v>
      </c>
      <c r="Z135" s="6" t="s">
        <v>62</v>
      </c>
      <c r="AA135" s="6" t="s">
        <v>63</v>
      </c>
    </row>
    <row r="136" spans="1:27" ht="12" customHeight="1">
      <c r="A136" s="14" t="s">
        <v>138</v>
      </c>
      <c r="B136" s="14" t="s">
        <v>139</v>
      </c>
      <c r="C136" s="14" t="s">
        <v>140</v>
      </c>
      <c r="D136" s="14" t="s">
        <v>44</v>
      </c>
      <c r="E136" s="14" t="s">
        <v>31</v>
      </c>
      <c r="F136" s="15">
        <v>2021</v>
      </c>
      <c r="G136" s="16">
        <v>4860931</v>
      </c>
      <c r="H136" s="17">
        <v>215944000</v>
      </c>
      <c r="I136" s="17"/>
      <c r="J136" s="17"/>
      <c r="K136" s="17">
        <v>4206000</v>
      </c>
      <c r="L136" s="17">
        <v>3246000</v>
      </c>
      <c r="M136" s="17">
        <v>24087000</v>
      </c>
      <c r="N136" s="17">
        <v>27342000</v>
      </c>
      <c r="O136" s="17"/>
      <c r="P136" s="17">
        <v>6325000</v>
      </c>
      <c r="Q136" s="17"/>
      <c r="R136" s="17"/>
      <c r="S136" s="17">
        <v>150516000</v>
      </c>
      <c r="T136" s="17">
        <v>-67405000</v>
      </c>
      <c r="U136" s="17">
        <v>67324000</v>
      </c>
      <c r="V136" s="17">
        <v>1835598000</v>
      </c>
      <c r="W136" s="18">
        <v>129454000</v>
      </c>
      <c r="X136" s="6" t="s">
        <v>32</v>
      </c>
      <c r="Y136" s="6" t="s">
        <v>141</v>
      </c>
      <c r="Z136" s="6" t="s">
        <v>62</v>
      </c>
      <c r="AA136" s="6" t="s">
        <v>63</v>
      </c>
    </row>
    <row r="137" spans="1:27" ht="12" customHeight="1">
      <c r="A137" s="14" t="s">
        <v>138</v>
      </c>
      <c r="B137" s="14" t="s">
        <v>139</v>
      </c>
      <c r="C137" s="14" t="s">
        <v>140</v>
      </c>
      <c r="D137" s="14" t="s">
        <v>44</v>
      </c>
      <c r="E137" s="14" t="s">
        <v>31</v>
      </c>
      <c r="F137" s="15">
        <v>2022</v>
      </c>
      <c r="G137" s="16">
        <v>9953162</v>
      </c>
      <c r="H137" s="17">
        <v>319254000</v>
      </c>
      <c r="I137" s="17"/>
      <c r="J137" s="17"/>
      <c r="K137" s="17">
        <v>20463000</v>
      </c>
      <c r="L137" s="17">
        <v>10435000</v>
      </c>
      <c r="M137" s="17">
        <v>43511000</v>
      </c>
      <c r="N137" s="17">
        <v>56838000</v>
      </c>
      <c r="O137" s="17"/>
      <c r="P137" s="17">
        <v>15568000</v>
      </c>
      <c r="Q137" s="17"/>
      <c r="R137" s="17"/>
      <c r="S137" s="17">
        <v>149314000</v>
      </c>
      <c r="T137" s="17">
        <v>28021000</v>
      </c>
      <c r="U137" s="17">
        <v>374248000</v>
      </c>
      <c r="V137" s="17">
        <v>3667844000</v>
      </c>
      <c r="W137" s="18">
        <v>143390000</v>
      </c>
      <c r="X137" s="6" t="s">
        <v>32</v>
      </c>
      <c r="Y137" s="6" t="s">
        <v>141</v>
      </c>
      <c r="Z137" s="6" t="s">
        <v>62</v>
      </c>
      <c r="AA137" s="6" t="s">
        <v>63</v>
      </c>
    </row>
    <row r="138" spans="1:27" ht="12" customHeight="1">
      <c r="A138" s="14" t="s">
        <v>138</v>
      </c>
      <c r="B138" s="14" t="s">
        <v>139</v>
      </c>
      <c r="C138" s="14" t="s">
        <v>140</v>
      </c>
      <c r="D138" s="14" t="s">
        <v>44</v>
      </c>
      <c r="E138" s="14" t="s">
        <v>31</v>
      </c>
      <c r="F138" s="15">
        <v>2023</v>
      </c>
      <c r="G138" s="16">
        <v>11867569</v>
      </c>
      <c r="H138" s="17">
        <v>360762000</v>
      </c>
      <c r="I138" s="17"/>
      <c r="J138" s="17"/>
      <c r="K138" s="17">
        <v>6844000</v>
      </c>
      <c r="L138" s="17">
        <v>7552000</v>
      </c>
      <c r="M138" s="17">
        <v>45609000</v>
      </c>
      <c r="N138" s="17">
        <v>65148000</v>
      </c>
      <c r="O138" s="17"/>
      <c r="P138" s="17">
        <v>12959000</v>
      </c>
      <c r="Q138" s="17"/>
      <c r="R138" s="17"/>
      <c r="S138" s="17">
        <v>174339000</v>
      </c>
      <c r="T138" s="17">
        <v>54837000</v>
      </c>
      <c r="U138" s="17">
        <v>645444000</v>
      </c>
      <c r="V138" s="17">
        <v>3876479000</v>
      </c>
      <c r="W138" s="18">
        <v>188309000</v>
      </c>
      <c r="X138" s="6" t="s">
        <v>32</v>
      </c>
      <c r="Y138" s="6" t="s">
        <v>141</v>
      </c>
      <c r="Z138" s="6" t="s">
        <v>62</v>
      </c>
      <c r="AA138" s="6" t="s">
        <v>63</v>
      </c>
    </row>
    <row r="139" spans="1:27" ht="12" customHeight="1">
      <c r="A139" s="14" t="s">
        <v>138</v>
      </c>
      <c r="B139" s="14" t="s">
        <v>139</v>
      </c>
      <c r="C139" s="14" t="s">
        <v>140</v>
      </c>
      <c r="D139" s="14" t="s">
        <v>44</v>
      </c>
      <c r="E139" s="14" t="s">
        <v>31</v>
      </c>
      <c r="F139" s="15">
        <v>2024</v>
      </c>
      <c r="G139" s="16">
        <v>12467114</v>
      </c>
      <c r="H139" s="17">
        <v>399889000</v>
      </c>
      <c r="I139" s="17"/>
      <c r="J139" s="17"/>
      <c r="K139" s="17">
        <v>10816000</v>
      </c>
      <c r="L139" s="17">
        <v>7649000</v>
      </c>
      <c r="M139" s="17">
        <v>44384000</v>
      </c>
      <c r="N139" s="17">
        <v>72184000</v>
      </c>
      <c r="O139" s="17"/>
      <c r="P139" s="17">
        <v>13271000</v>
      </c>
      <c r="Q139" s="17"/>
      <c r="R139" s="17"/>
      <c r="S139" s="17">
        <v>192288000</v>
      </c>
      <c r="T139" s="17">
        <v>85426000</v>
      </c>
      <c r="U139" s="17">
        <v>992162000</v>
      </c>
      <c r="V139" s="17">
        <v>4539393000</v>
      </c>
      <c r="W139" s="18">
        <v>216363000</v>
      </c>
      <c r="X139" s="6" t="s">
        <v>32</v>
      </c>
      <c r="Y139" s="6" t="s">
        <v>141</v>
      </c>
      <c r="Z139" s="6" t="s">
        <v>62</v>
      </c>
      <c r="AA139" s="6" t="s">
        <v>63</v>
      </c>
    </row>
    <row r="140" spans="1:27" ht="12" customHeight="1">
      <c r="A140" s="14" t="s">
        <v>142</v>
      </c>
      <c r="B140" s="14" t="s">
        <v>143</v>
      </c>
      <c r="C140" s="14" t="s">
        <v>144</v>
      </c>
      <c r="D140" s="14" t="s">
        <v>145</v>
      </c>
      <c r="E140" s="14" t="s">
        <v>31</v>
      </c>
      <c r="F140" s="15">
        <v>2019</v>
      </c>
      <c r="G140" s="16">
        <v>8596307</v>
      </c>
      <c r="H140" s="17">
        <v>165926000</v>
      </c>
      <c r="I140" s="17"/>
      <c r="J140" s="17"/>
      <c r="K140" s="17">
        <v>8827000</v>
      </c>
      <c r="L140" s="17">
        <v>2212000</v>
      </c>
      <c r="M140" s="17">
        <v>16183000</v>
      </c>
      <c r="N140" s="17">
        <v>60293000</v>
      </c>
      <c r="O140" s="17"/>
      <c r="P140" s="17">
        <v>6118000</v>
      </c>
      <c r="Q140" s="17"/>
      <c r="R140" s="17"/>
      <c r="S140" s="17">
        <v>97743000</v>
      </c>
      <c r="T140" s="17">
        <v>26360000</v>
      </c>
      <c r="U140" s="17">
        <v>242614000</v>
      </c>
      <c r="V140" s="17">
        <v>413925000</v>
      </c>
      <c r="W140" s="18">
        <v>58810000</v>
      </c>
      <c r="X140" s="6" t="s">
        <v>32</v>
      </c>
      <c r="Y140" s="6" t="s">
        <v>146</v>
      </c>
      <c r="Z140" s="6" t="s">
        <v>62</v>
      </c>
      <c r="AA140" s="6" t="s">
        <v>63</v>
      </c>
    </row>
    <row r="141" spans="1:27" ht="12" customHeight="1">
      <c r="A141" s="14" t="s">
        <v>142</v>
      </c>
      <c r="B141" s="14" t="s">
        <v>143</v>
      </c>
      <c r="C141" s="14" t="s">
        <v>144</v>
      </c>
      <c r="D141" s="14" t="s">
        <v>145</v>
      </c>
      <c r="E141" s="14" t="s">
        <v>31</v>
      </c>
      <c r="F141" s="15">
        <v>2020</v>
      </c>
      <c r="G141" s="16">
        <v>6858395</v>
      </c>
      <c r="H141" s="17">
        <v>139513000</v>
      </c>
      <c r="I141" s="17"/>
      <c r="J141" s="17"/>
      <c r="K141" s="17">
        <v>5288000</v>
      </c>
      <c r="L141" s="17">
        <v>3089000</v>
      </c>
      <c r="M141" s="17">
        <v>14144000</v>
      </c>
      <c r="N141" s="17">
        <v>48638000</v>
      </c>
      <c r="O141" s="17"/>
      <c r="P141" s="17">
        <v>5099000</v>
      </c>
      <c r="Q141" s="17"/>
      <c r="R141" s="17"/>
      <c r="S141" s="17">
        <v>91639000</v>
      </c>
      <c r="T141" s="17">
        <v>891000</v>
      </c>
      <c r="U141" s="17">
        <v>360691000</v>
      </c>
      <c r="V141" s="17">
        <v>1169665000</v>
      </c>
      <c r="W141" s="18">
        <v>47200000</v>
      </c>
      <c r="X141" s="6" t="s">
        <v>32</v>
      </c>
      <c r="Y141" s="6" t="s">
        <v>146</v>
      </c>
      <c r="Z141" s="6" t="s">
        <v>62</v>
      </c>
      <c r="AA141" s="6" t="s">
        <v>63</v>
      </c>
    </row>
    <row r="142" spans="1:27" ht="12" customHeight="1">
      <c r="A142" s="14" t="s">
        <v>142</v>
      </c>
      <c r="B142" s="14" t="s">
        <v>143</v>
      </c>
      <c r="C142" s="14" t="s">
        <v>144</v>
      </c>
      <c r="D142" s="14" t="s">
        <v>145</v>
      </c>
      <c r="E142" s="14" t="s">
        <v>31</v>
      </c>
      <c r="F142" s="15">
        <v>2021</v>
      </c>
      <c r="G142" s="16">
        <v>5151658</v>
      </c>
      <c r="H142" s="17">
        <v>124523000</v>
      </c>
      <c r="I142" s="17"/>
      <c r="J142" s="17"/>
      <c r="K142" s="17">
        <v>3983000</v>
      </c>
      <c r="L142" s="17">
        <v>3516000</v>
      </c>
      <c r="M142" s="17">
        <v>12656000</v>
      </c>
      <c r="N142" s="17">
        <v>32095000</v>
      </c>
      <c r="O142" s="17"/>
      <c r="P142" s="17">
        <v>5031000</v>
      </c>
      <c r="Q142" s="17"/>
      <c r="R142" s="17"/>
      <c r="S142" s="17">
        <v>71928000</v>
      </c>
      <c r="T142" s="17">
        <v>2566000</v>
      </c>
      <c r="U142" s="17">
        <v>249724000</v>
      </c>
      <c r="V142" s="17">
        <v>1172727000</v>
      </c>
      <c r="W142" s="18">
        <v>47827000</v>
      </c>
      <c r="X142" s="6" t="s">
        <v>32</v>
      </c>
      <c r="Y142" s="6" t="s">
        <v>146</v>
      </c>
      <c r="Z142" s="6" t="s">
        <v>62</v>
      </c>
      <c r="AA142" s="6" t="s">
        <v>63</v>
      </c>
    </row>
    <row r="143" spans="1:27" ht="12" customHeight="1">
      <c r="A143" s="14" t="s">
        <v>142</v>
      </c>
      <c r="B143" s="14" t="s">
        <v>143</v>
      </c>
      <c r="C143" s="14" t="s">
        <v>144</v>
      </c>
      <c r="D143" s="14" t="s">
        <v>145</v>
      </c>
      <c r="E143" s="14" t="s">
        <v>31</v>
      </c>
      <c r="F143" s="15">
        <v>2022</v>
      </c>
      <c r="G143" s="16">
        <v>9217710</v>
      </c>
      <c r="H143" s="17">
        <v>205402000</v>
      </c>
      <c r="I143" s="17"/>
      <c r="J143" s="17"/>
      <c r="K143" s="17">
        <v>7829000</v>
      </c>
      <c r="L143" s="17">
        <v>6166000</v>
      </c>
      <c r="M143" s="17">
        <v>20452000</v>
      </c>
      <c r="N143" s="17">
        <v>89074000</v>
      </c>
      <c r="O143" s="17"/>
      <c r="P143" s="17">
        <v>7135000</v>
      </c>
      <c r="Q143" s="17"/>
      <c r="R143" s="17"/>
      <c r="S143" s="17">
        <v>110178000</v>
      </c>
      <c r="T143" s="17">
        <v>19510000</v>
      </c>
      <c r="U143" s="17">
        <v>238985000</v>
      </c>
      <c r="V143" s="17">
        <v>1240159000</v>
      </c>
      <c r="W143" s="18">
        <v>56212000</v>
      </c>
      <c r="X143" s="6" t="s">
        <v>32</v>
      </c>
      <c r="Y143" s="6" t="s">
        <v>146</v>
      </c>
      <c r="Z143" s="6" t="s">
        <v>62</v>
      </c>
      <c r="AA143" s="6" t="s">
        <v>63</v>
      </c>
    </row>
    <row r="144" spans="1:27" ht="12" customHeight="1">
      <c r="A144" s="14" t="s">
        <v>142</v>
      </c>
      <c r="B144" s="14" t="s">
        <v>143</v>
      </c>
      <c r="C144" s="14" t="s">
        <v>144</v>
      </c>
      <c r="D144" s="14" t="s">
        <v>145</v>
      </c>
      <c r="E144" s="14" t="s">
        <v>31</v>
      </c>
      <c r="F144" s="15">
        <v>2023</v>
      </c>
      <c r="G144" s="16">
        <v>10952899</v>
      </c>
      <c r="H144" s="17">
        <v>247818000</v>
      </c>
      <c r="I144" s="17"/>
      <c r="J144" s="17"/>
      <c r="K144" s="17">
        <v>8971000</v>
      </c>
      <c r="L144" s="17">
        <v>5849000</v>
      </c>
      <c r="M144" s="17">
        <v>24496000</v>
      </c>
      <c r="N144" s="17">
        <v>114205000</v>
      </c>
      <c r="O144" s="17"/>
      <c r="P144" s="17">
        <v>8887000</v>
      </c>
      <c r="Q144" s="17"/>
      <c r="R144" s="17"/>
      <c r="S144" s="17">
        <v>122177000</v>
      </c>
      <c r="T144" s="17">
        <v>43998000</v>
      </c>
      <c r="U144" s="17">
        <v>311441000</v>
      </c>
      <c r="V144" s="17">
        <v>1744870000</v>
      </c>
      <c r="W144" s="18">
        <v>65403000</v>
      </c>
      <c r="X144" s="6" t="s">
        <v>32</v>
      </c>
      <c r="Y144" s="6" t="s">
        <v>146</v>
      </c>
      <c r="Z144" s="6" t="s">
        <v>62</v>
      </c>
      <c r="AA144" s="6" t="s">
        <v>63</v>
      </c>
    </row>
    <row r="145" spans="1:27" ht="12" customHeight="1">
      <c r="A145" s="14" t="s">
        <v>142</v>
      </c>
      <c r="B145" s="14" t="s">
        <v>143</v>
      </c>
      <c r="C145" s="14" t="s">
        <v>144</v>
      </c>
      <c r="D145" s="14" t="s">
        <v>145</v>
      </c>
      <c r="E145" s="14" t="s">
        <v>31</v>
      </c>
      <c r="F145" s="15">
        <v>2024</v>
      </c>
      <c r="G145" s="16">
        <v>11826204</v>
      </c>
      <c r="H145" s="17">
        <v>295958000</v>
      </c>
      <c r="I145" s="17"/>
      <c r="J145" s="17"/>
      <c r="K145" s="17">
        <v>12769000</v>
      </c>
      <c r="L145" s="17">
        <v>7747000</v>
      </c>
      <c r="M145" s="17">
        <v>25502000</v>
      </c>
      <c r="N145" s="17">
        <v>128059000</v>
      </c>
      <c r="O145" s="17"/>
      <c r="P145" s="17">
        <v>10730000</v>
      </c>
      <c r="Q145" s="17"/>
      <c r="R145" s="17"/>
      <c r="S145" s="17">
        <v>155817000</v>
      </c>
      <c r="T145" s="17">
        <v>28754000</v>
      </c>
      <c r="U145" s="17">
        <v>256728000</v>
      </c>
      <c r="V145" s="17">
        <v>1751829000</v>
      </c>
      <c r="W145" s="18">
        <v>100387000</v>
      </c>
      <c r="X145" s="6" t="s">
        <v>32</v>
      </c>
      <c r="Y145" s="6" t="s">
        <v>146</v>
      </c>
      <c r="Z145" s="6" t="s">
        <v>62</v>
      </c>
      <c r="AA145" s="6" t="s">
        <v>63</v>
      </c>
    </row>
    <row r="146" spans="1:27" ht="12" customHeight="1">
      <c r="A146" s="14" t="s">
        <v>147</v>
      </c>
      <c r="B146" s="14" t="s">
        <v>148</v>
      </c>
      <c r="C146" s="14" t="s">
        <v>149</v>
      </c>
      <c r="D146" s="14" t="s">
        <v>39</v>
      </c>
      <c r="E146" s="14" t="s">
        <v>55</v>
      </c>
      <c r="F146" s="15">
        <v>2019</v>
      </c>
      <c r="G146" s="16">
        <v>8130451</v>
      </c>
      <c r="H146" s="17">
        <v>147558000</v>
      </c>
      <c r="I146" s="17"/>
      <c r="J146" s="17"/>
      <c r="K146" s="17">
        <v>9638000</v>
      </c>
      <c r="L146" s="17">
        <v>4781000</v>
      </c>
      <c r="M146" s="17">
        <v>10545000</v>
      </c>
      <c r="N146" s="17">
        <v>32261000</v>
      </c>
      <c r="O146" s="17"/>
      <c r="P146" s="17">
        <v>2057000</v>
      </c>
      <c r="Q146" s="17"/>
      <c r="R146" s="17"/>
      <c r="S146" s="17">
        <v>79678000</v>
      </c>
      <c r="T146" s="17">
        <v>44578000</v>
      </c>
      <c r="U146" s="17">
        <v>48989000</v>
      </c>
      <c r="V146" s="17">
        <v>660593000</v>
      </c>
      <c r="W146" s="18">
        <v>71671000</v>
      </c>
      <c r="X146" s="6" t="s">
        <v>32</v>
      </c>
      <c r="Y146" s="6" t="s">
        <v>150</v>
      </c>
      <c r="Z146" s="6" t="s">
        <v>62</v>
      </c>
      <c r="AA146" s="6" t="s">
        <v>63</v>
      </c>
    </row>
    <row r="147" spans="1:27" ht="12" customHeight="1">
      <c r="A147" s="14" t="s">
        <v>147</v>
      </c>
      <c r="B147" s="14" t="s">
        <v>148</v>
      </c>
      <c r="C147" s="14" t="s">
        <v>149</v>
      </c>
      <c r="D147" s="14" t="s">
        <v>39</v>
      </c>
      <c r="E147" s="14" t="s">
        <v>55</v>
      </c>
      <c r="F147" s="15">
        <v>2020</v>
      </c>
      <c r="G147" s="16">
        <v>5062470</v>
      </c>
      <c r="H147" s="17">
        <v>137502000</v>
      </c>
      <c r="I147" s="17"/>
      <c r="J147" s="17"/>
      <c r="K147" s="17">
        <v>5904000</v>
      </c>
      <c r="L147" s="17">
        <v>2855000</v>
      </c>
      <c r="M147" s="17">
        <v>7045000</v>
      </c>
      <c r="N147" s="17">
        <v>20288000</v>
      </c>
      <c r="O147" s="17"/>
      <c r="P147" s="17">
        <v>1650000</v>
      </c>
      <c r="Q147" s="17"/>
      <c r="R147" s="17"/>
      <c r="S147" s="17">
        <v>94118000</v>
      </c>
      <c r="T147" s="17">
        <v>28926000</v>
      </c>
      <c r="U147" s="17">
        <v>40999000</v>
      </c>
      <c r="V147" s="17">
        <v>340348000</v>
      </c>
      <c r="W147" s="18">
        <v>85255000</v>
      </c>
      <c r="X147" s="6" t="s">
        <v>32</v>
      </c>
      <c r="Y147" s="6" t="s">
        <v>150</v>
      </c>
      <c r="Z147" s="6" t="s">
        <v>62</v>
      </c>
      <c r="AA147" s="6" t="s">
        <v>63</v>
      </c>
    </row>
    <row r="148" spans="1:27" ht="12" customHeight="1">
      <c r="A148" s="14" t="s">
        <v>147</v>
      </c>
      <c r="B148" s="14" t="s">
        <v>148</v>
      </c>
      <c r="C148" s="14" t="s">
        <v>149</v>
      </c>
      <c r="D148" s="14" t="s">
        <v>39</v>
      </c>
      <c r="E148" s="14" t="s">
        <v>55</v>
      </c>
      <c r="F148" s="15">
        <v>2021</v>
      </c>
      <c r="G148" s="16">
        <v>5634142</v>
      </c>
      <c r="H148" s="17">
        <v>142433000</v>
      </c>
      <c r="I148" s="17"/>
      <c r="J148" s="17"/>
      <c r="K148" s="17">
        <v>6528000</v>
      </c>
      <c r="L148" s="17">
        <v>3074000</v>
      </c>
      <c r="M148" s="17">
        <v>9511000</v>
      </c>
      <c r="N148" s="17">
        <v>22770000</v>
      </c>
      <c r="O148" s="17"/>
      <c r="P148" s="17">
        <v>1201000</v>
      </c>
      <c r="Q148" s="17"/>
      <c r="R148" s="17"/>
      <c r="S148" s="17">
        <v>82552000</v>
      </c>
      <c r="T148" s="17">
        <v>17587000</v>
      </c>
      <c r="U148" s="17">
        <v>54951000</v>
      </c>
      <c r="V148" s="17">
        <v>539830000</v>
      </c>
      <c r="W148" s="18">
        <v>79941000</v>
      </c>
      <c r="X148" s="6" t="s">
        <v>32</v>
      </c>
      <c r="Y148" s="6" t="s">
        <v>150</v>
      </c>
      <c r="Z148" s="6" t="s">
        <v>62</v>
      </c>
      <c r="AA148" s="6" t="s">
        <v>63</v>
      </c>
    </row>
    <row r="149" spans="1:27" ht="12" customHeight="1">
      <c r="A149" s="14" t="s">
        <v>147</v>
      </c>
      <c r="B149" s="14" t="s">
        <v>148</v>
      </c>
      <c r="C149" s="14" t="s">
        <v>149</v>
      </c>
      <c r="D149" s="14" t="s">
        <v>39</v>
      </c>
      <c r="E149" s="14" t="s">
        <v>55</v>
      </c>
      <c r="F149" s="15">
        <v>2022</v>
      </c>
      <c r="G149" s="16">
        <v>7841299</v>
      </c>
      <c r="H149" s="17">
        <v>161585000</v>
      </c>
      <c r="I149" s="17"/>
      <c r="J149" s="17"/>
      <c r="K149" s="17">
        <v>10174000</v>
      </c>
      <c r="L149" s="17">
        <v>4831000</v>
      </c>
      <c r="M149" s="17">
        <v>12100000</v>
      </c>
      <c r="N149" s="17">
        <v>37750000</v>
      </c>
      <c r="O149" s="17"/>
      <c r="P149" s="17">
        <v>1684000</v>
      </c>
      <c r="Q149" s="17"/>
      <c r="R149" s="17"/>
      <c r="S149" s="17">
        <v>80938000</v>
      </c>
      <c r="T149" s="17">
        <v>37310000</v>
      </c>
      <c r="U149" s="17">
        <v>109200000</v>
      </c>
      <c r="V149" s="17">
        <v>530755000</v>
      </c>
      <c r="W149" s="18">
        <v>71294000</v>
      </c>
      <c r="X149" s="6" t="s">
        <v>32</v>
      </c>
      <c r="Y149" s="6" t="s">
        <v>150</v>
      </c>
      <c r="Z149" s="6" t="s">
        <v>62</v>
      </c>
      <c r="AA149" s="6" t="s">
        <v>63</v>
      </c>
    </row>
    <row r="150" spans="1:27" ht="12" customHeight="1">
      <c r="A150" s="14" t="s">
        <v>147</v>
      </c>
      <c r="B150" s="14" t="s">
        <v>148</v>
      </c>
      <c r="C150" s="14" t="s">
        <v>149</v>
      </c>
      <c r="D150" s="14" t="s">
        <v>39</v>
      </c>
      <c r="E150" s="14" t="s">
        <v>55</v>
      </c>
      <c r="F150" s="15">
        <v>2023</v>
      </c>
      <c r="G150" s="16">
        <v>8673629</v>
      </c>
      <c r="H150" s="17">
        <v>179035000</v>
      </c>
      <c r="I150" s="17"/>
      <c r="J150" s="17"/>
      <c r="K150" s="17">
        <v>11888000</v>
      </c>
      <c r="L150" s="17">
        <v>5232000</v>
      </c>
      <c r="M150" s="17">
        <v>10893000</v>
      </c>
      <c r="N150" s="17">
        <v>45683000</v>
      </c>
      <c r="O150" s="17"/>
      <c r="P150" s="17">
        <v>1976000</v>
      </c>
      <c r="Q150" s="17"/>
      <c r="R150" s="17"/>
      <c r="S150" s="17">
        <v>103987000</v>
      </c>
      <c r="T150" s="17">
        <v>32612000</v>
      </c>
      <c r="U150" s="17">
        <v>49982000</v>
      </c>
      <c r="V150" s="17">
        <v>654175000</v>
      </c>
      <c r="W150" s="18">
        <v>78312000</v>
      </c>
      <c r="X150" s="6" t="s">
        <v>32</v>
      </c>
      <c r="Y150" s="6" t="s">
        <v>150</v>
      </c>
      <c r="Z150" s="6" t="s">
        <v>62</v>
      </c>
      <c r="AA150" s="6" t="s">
        <v>63</v>
      </c>
    </row>
    <row r="151" spans="1:27" ht="12" customHeight="1">
      <c r="A151" s="14" t="s">
        <v>147</v>
      </c>
      <c r="B151" s="14" t="s">
        <v>148</v>
      </c>
      <c r="C151" s="14" t="s">
        <v>149</v>
      </c>
      <c r="D151" s="14" t="s">
        <v>39</v>
      </c>
      <c r="E151" s="14" t="s">
        <v>55</v>
      </c>
      <c r="F151" s="15">
        <v>2024</v>
      </c>
      <c r="G151" s="16">
        <v>8940207</v>
      </c>
      <c r="H151" s="17">
        <v>199513000</v>
      </c>
      <c r="I151" s="17"/>
      <c r="J151" s="17"/>
      <c r="K151" s="17">
        <v>13702000</v>
      </c>
      <c r="L151" s="17">
        <v>5373000</v>
      </c>
      <c r="M151" s="17">
        <v>12538000</v>
      </c>
      <c r="N151" s="17">
        <v>48849000</v>
      </c>
      <c r="O151" s="17"/>
      <c r="P151" s="17">
        <v>2611000</v>
      </c>
      <c r="Q151" s="17"/>
      <c r="R151" s="17"/>
      <c r="S151" s="17">
        <v>127644000</v>
      </c>
      <c r="T151" s="17">
        <v>24443000</v>
      </c>
      <c r="U151" s="17">
        <v>69231000</v>
      </c>
      <c r="V151" s="17">
        <v>625205000</v>
      </c>
      <c r="W151" s="18">
        <v>93281000</v>
      </c>
      <c r="X151" s="6" t="s">
        <v>32</v>
      </c>
      <c r="Y151" s="6" t="s">
        <v>150</v>
      </c>
      <c r="Z151" s="6" t="s">
        <v>62</v>
      </c>
      <c r="AA151" s="6" t="s">
        <v>63</v>
      </c>
    </row>
    <row r="152" spans="1:27" ht="12" customHeight="1">
      <c r="A152" s="14" t="s">
        <v>151</v>
      </c>
      <c r="B152" s="14" t="s">
        <v>152</v>
      </c>
      <c r="C152" s="14" t="s">
        <v>153</v>
      </c>
      <c r="D152" s="14" t="s">
        <v>154</v>
      </c>
      <c r="E152" s="14" t="s">
        <v>31</v>
      </c>
      <c r="F152" s="15">
        <v>2019</v>
      </c>
      <c r="G152" s="16">
        <v>23959410</v>
      </c>
      <c r="H152" s="17">
        <v>267318000</v>
      </c>
      <c r="I152" s="17"/>
      <c r="J152" s="17"/>
      <c r="K152" s="17">
        <v>35070000</v>
      </c>
      <c r="L152" s="17">
        <v>15477000</v>
      </c>
      <c r="M152" s="17">
        <v>16817000</v>
      </c>
      <c r="N152" s="17">
        <v>65737000</v>
      </c>
      <c r="O152" s="17"/>
      <c r="P152" s="17">
        <v>7956000</v>
      </c>
      <c r="Q152" s="17"/>
      <c r="R152" s="17"/>
      <c r="S152" s="17">
        <v>163626000</v>
      </c>
      <c r="T152" s="17">
        <v>40588000</v>
      </c>
      <c r="U152" s="17">
        <v>235952000</v>
      </c>
      <c r="V152" s="17">
        <v>981879000</v>
      </c>
      <c r="W152" s="18">
        <v>96135000</v>
      </c>
      <c r="X152" s="6" t="s">
        <v>32</v>
      </c>
      <c r="Y152" s="6" t="s">
        <v>155</v>
      </c>
      <c r="Z152" s="6" t="s">
        <v>156</v>
      </c>
      <c r="AA152" s="6" t="s">
        <v>157</v>
      </c>
    </row>
    <row r="153" spans="1:27" ht="12" customHeight="1">
      <c r="A153" s="14" t="s">
        <v>151</v>
      </c>
      <c r="B153" s="14" t="s">
        <v>152</v>
      </c>
      <c r="C153" s="14" t="s">
        <v>153</v>
      </c>
      <c r="D153" s="14" t="s">
        <v>154</v>
      </c>
      <c r="E153" s="14" t="s">
        <v>31</v>
      </c>
      <c r="F153" s="15">
        <v>2020</v>
      </c>
      <c r="G153" s="16">
        <v>19408634</v>
      </c>
      <c r="H153" s="17">
        <v>228008000</v>
      </c>
      <c r="I153" s="17"/>
      <c r="J153" s="17"/>
      <c r="K153" s="17">
        <v>25349000</v>
      </c>
      <c r="L153" s="17">
        <v>11541000</v>
      </c>
      <c r="M153" s="17">
        <v>13220000</v>
      </c>
      <c r="N153" s="17">
        <v>52496000</v>
      </c>
      <c r="O153" s="17"/>
      <c r="P153" s="17">
        <v>6118000</v>
      </c>
      <c r="Q153" s="17"/>
      <c r="R153" s="17"/>
      <c r="S153" s="17">
        <v>174158000</v>
      </c>
      <c r="T153" s="17">
        <v>-20267000</v>
      </c>
      <c r="U153" s="17">
        <v>249012000</v>
      </c>
      <c r="V153" s="17">
        <v>931025000</v>
      </c>
      <c r="W153" s="18">
        <v>89219000</v>
      </c>
      <c r="X153" s="6" t="s">
        <v>32</v>
      </c>
      <c r="Y153" s="6" t="s">
        <v>155</v>
      </c>
      <c r="Z153" s="6" t="s">
        <v>156</v>
      </c>
      <c r="AA153" s="6" t="s">
        <v>157</v>
      </c>
    </row>
    <row r="154" spans="1:27" ht="12" customHeight="1">
      <c r="A154" s="14" t="s">
        <v>151</v>
      </c>
      <c r="B154" s="14" t="s">
        <v>152</v>
      </c>
      <c r="C154" s="14" t="s">
        <v>153</v>
      </c>
      <c r="D154" s="14" t="s">
        <v>154</v>
      </c>
      <c r="E154" s="14" t="s">
        <v>31</v>
      </c>
      <c r="F154" s="15">
        <v>2021</v>
      </c>
      <c r="G154" s="16">
        <v>16644925</v>
      </c>
      <c r="H154" s="17">
        <v>171384000</v>
      </c>
      <c r="I154" s="17"/>
      <c r="J154" s="17"/>
      <c r="K154" s="17">
        <v>23188000</v>
      </c>
      <c r="L154" s="17">
        <v>9616000</v>
      </c>
      <c r="M154" s="17">
        <v>9319000</v>
      </c>
      <c r="N154" s="17">
        <v>29250000</v>
      </c>
      <c r="O154" s="17"/>
      <c r="P154" s="17">
        <v>7690000</v>
      </c>
      <c r="Q154" s="17"/>
      <c r="R154" s="17"/>
      <c r="S154" s="17">
        <v>154864000</v>
      </c>
      <c r="T154" s="17">
        <v>-67410000</v>
      </c>
      <c r="U154" s="17">
        <v>243855000</v>
      </c>
      <c r="V154" s="17">
        <v>1069626000</v>
      </c>
      <c r="W154" s="18">
        <v>64744000</v>
      </c>
      <c r="X154" s="6" t="s">
        <v>32</v>
      </c>
      <c r="Y154" s="6" t="s">
        <v>155</v>
      </c>
      <c r="Z154" s="6" t="s">
        <v>156</v>
      </c>
      <c r="AA154" s="6" t="s">
        <v>157</v>
      </c>
    </row>
    <row r="155" spans="1:27" ht="12" customHeight="1">
      <c r="A155" s="14" t="s">
        <v>151</v>
      </c>
      <c r="B155" s="14" t="s">
        <v>152</v>
      </c>
      <c r="C155" s="14" t="s">
        <v>153</v>
      </c>
      <c r="D155" s="14" t="s">
        <v>154</v>
      </c>
      <c r="E155" s="14" t="s">
        <v>31</v>
      </c>
      <c r="F155" s="15">
        <v>2022</v>
      </c>
      <c r="G155" s="16">
        <v>23033542</v>
      </c>
      <c r="H155" s="17">
        <v>318984000</v>
      </c>
      <c r="I155" s="17"/>
      <c r="J155" s="17"/>
      <c r="K155" s="17">
        <v>36632000</v>
      </c>
      <c r="L155" s="17">
        <v>16509000</v>
      </c>
      <c r="M155" s="17">
        <v>17868000</v>
      </c>
      <c r="N155" s="17">
        <v>81445000</v>
      </c>
      <c r="O155" s="17"/>
      <c r="P155" s="17">
        <v>7245000</v>
      </c>
      <c r="Q155" s="17"/>
      <c r="R155" s="17"/>
      <c r="S155" s="17">
        <v>193030000</v>
      </c>
      <c r="T155" s="17">
        <v>39133000</v>
      </c>
      <c r="U155" s="17">
        <v>279056000</v>
      </c>
      <c r="V155" s="17">
        <v>1303803000</v>
      </c>
      <c r="W155" s="18">
        <v>95101000</v>
      </c>
      <c r="X155" s="6" t="s">
        <v>32</v>
      </c>
      <c r="Y155" s="6" t="s">
        <v>155</v>
      </c>
      <c r="Z155" s="6" t="s">
        <v>156</v>
      </c>
      <c r="AA155" s="6" t="s">
        <v>157</v>
      </c>
    </row>
    <row r="156" spans="1:27" ht="12" customHeight="1">
      <c r="A156" s="14" t="s">
        <v>151</v>
      </c>
      <c r="B156" s="14" t="s">
        <v>152</v>
      </c>
      <c r="C156" s="14" t="s">
        <v>153</v>
      </c>
      <c r="D156" s="14" t="s">
        <v>154</v>
      </c>
      <c r="E156" s="14" t="s">
        <v>31</v>
      </c>
      <c r="F156" s="15">
        <v>2023</v>
      </c>
      <c r="G156" s="16">
        <v>25443000</v>
      </c>
      <c r="H156" s="17">
        <v>353506000</v>
      </c>
      <c r="I156" s="17"/>
      <c r="J156" s="17"/>
      <c r="K156" s="17">
        <v>43824000</v>
      </c>
      <c r="L156" s="17">
        <v>18268000</v>
      </c>
      <c r="M156" s="17">
        <v>20327000</v>
      </c>
      <c r="N156" s="17">
        <v>94711000</v>
      </c>
      <c r="O156" s="17"/>
      <c r="P156" s="17">
        <v>8198000</v>
      </c>
      <c r="Q156" s="17"/>
      <c r="R156" s="17"/>
      <c r="S156" s="17">
        <v>219739000</v>
      </c>
      <c r="T156" s="17">
        <v>40625000</v>
      </c>
      <c r="U156" s="17">
        <v>467171000</v>
      </c>
      <c r="V156" s="17">
        <v>1391014000</v>
      </c>
      <c r="W156" s="18">
        <v>107404000</v>
      </c>
      <c r="X156" s="6" t="s">
        <v>32</v>
      </c>
      <c r="Y156" s="6" t="s">
        <v>155</v>
      </c>
      <c r="Z156" s="6" t="s">
        <v>156</v>
      </c>
      <c r="AA156" s="6" t="s">
        <v>157</v>
      </c>
    </row>
    <row r="157" spans="1:27" ht="12" customHeight="1">
      <c r="A157" s="14" t="s">
        <v>151</v>
      </c>
      <c r="B157" s="14" t="s">
        <v>152</v>
      </c>
      <c r="C157" s="14" t="s">
        <v>153</v>
      </c>
      <c r="D157" s="14" t="s">
        <v>154</v>
      </c>
      <c r="E157" s="14" t="s">
        <v>31</v>
      </c>
      <c r="F157" s="15">
        <v>2024</v>
      </c>
      <c r="G157" s="16">
        <v>28640000</v>
      </c>
      <c r="H157" s="17">
        <v>431693000</v>
      </c>
      <c r="I157" s="17"/>
      <c r="J157" s="17"/>
      <c r="K157" s="17">
        <v>43461000</v>
      </c>
      <c r="L157" s="17">
        <v>22588000</v>
      </c>
      <c r="M157" s="17">
        <v>22873000</v>
      </c>
      <c r="N157" s="17">
        <v>123802000</v>
      </c>
      <c r="O157" s="17"/>
      <c r="P157" s="17">
        <v>11054000</v>
      </c>
      <c r="Q157" s="17"/>
      <c r="R157" s="17"/>
      <c r="S157" s="17">
        <v>258713000</v>
      </c>
      <c r="T157" s="17">
        <v>60690000</v>
      </c>
      <c r="U157" s="17">
        <v>478369000</v>
      </c>
      <c r="V157" s="17">
        <v>1617994000</v>
      </c>
      <c r="W157" s="18">
        <v>135743000</v>
      </c>
      <c r="X157" s="6" t="s">
        <v>32</v>
      </c>
      <c r="Y157" s="6" t="s">
        <v>155</v>
      </c>
      <c r="Z157" s="6" t="s">
        <v>156</v>
      </c>
      <c r="AA157" s="6" t="s">
        <v>157</v>
      </c>
    </row>
    <row r="158" spans="1:27" ht="12" customHeight="1">
      <c r="A158" s="14" t="s">
        <v>158</v>
      </c>
      <c r="B158" s="14" t="s">
        <v>159</v>
      </c>
      <c r="C158" s="14" t="s">
        <v>160</v>
      </c>
      <c r="D158" s="14" t="s">
        <v>161</v>
      </c>
      <c r="E158" s="14" t="s">
        <v>31</v>
      </c>
      <c r="F158" s="15">
        <v>2019</v>
      </c>
      <c r="G158" s="16">
        <v>31275536</v>
      </c>
      <c r="H158" s="17">
        <v>1367791000</v>
      </c>
      <c r="I158" s="17"/>
      <c r="J158" s="17"/>
      <c r="K158" s="17">
        <v>7200000</v>
      </c>
      <c r="L158" s="17">
        <v>39311000</v>
      </c>
      <c r="M158" s="17">
        <v>32729000</v>
      </c>
      <c r="N158" s="17">
        <v>92057000</v>
      </c>
      <c r="O158" s="17"/>
      <c r="P158" s="17">
        <v>4047000</v>
      </c>
      <c r="Q158" s="17"/>
      <c r="R158" s="17"/>
      <c r="S158" s="17">
        <v>863504000</v>
      </c>
      <c r="T158" s="17">
        <v>298372000</v>
      </c>
      <c r="U158" s="17">
        <v>399140000</v>
      </c>
      <c r="V158" s="17">
        <v>1138906000</v>
      </c>
      <c r="W158" s="18">
        <v>825311000</v>
      </c>
      <c r="X158" s="6" t="s">
        <v>32</v>
      </c>
      <c r="Y158" s="6" t="s">
        <v>162</v>
      </c>
      <c r="Z158" s="6" t="s">
        <v>156</v>
      </c>
      <c r="AA158" s="6" t="s">
        <v>163</v>
      </c>
    </row>
    <row r="159" spans="1:27" ht="12" customHeight="1">
      <c r="A159" s="14" t="s">
        <v>158</v>
      </c>
      <c r="B159" s="14" t="s">
        <v>159</v>
      </c>
      <c r="C159" s="14" t="s">
        <v>160</v>
      </c>
      <c r="D159" s="14" t="s">
        <v>161</v>
      </c>
      <c r="E159" s="14" t="s">
        <v>31</v>
      </c>
      <c r="F159" s="15">
        <v>2020</v>
      </c>
      <c r="G159" s="16">
        <v>8329975</v>
      </c>
      <c r="H159" s="17">
        <v>920388000</v>
      </c>
      <c r="I159" s="17"/>
      <c r="J159" s="17"/>
      <c r="K159" s="17">
        <v>1676000</v>
      </c>
      <c r="L159" s="17">
        <v>9800000</v>
      </c>
      <c r="M159" s="17">
        <v>17147000</v>
      </c>
      <c r="N159" s="17">
        <v>36201000</v>
      </c>
      <c r="O159" s="17"/>
      <c r="P159" s="17">
        <v>1806000</v>
      </c>
      <c r="Q159" s="17"/>
      <c r="R159" s="17"/>
      <c r="S159" s="17">
        <v>816449000</v>
      </c>
      <c r="T159" s="17">
        <v>-116729000</v>
      </c>
      <c r="U159" s="17">
        <v>234752000</v>
      </c>
      <c r="V159" s="17">
        <v>0</v>
      </c>
      <c r="W159" s="18">
        <v>553625000</v>
      </c>
      <c r="X159" s="6" t="s">
        <v>32</v>
      </c>
      <c r="Y159" s="6" t="s">
        <v>162</v>
      </c>
      <c r="Z159" s="6" t="s">
        <v>156</v>
      </c>
      <c r="AA159" s="6" t="s">
        <v>163</v>
      </c>
    </row>
    <row r="160" spans="1:27" ht="12" customHeight="1">
      <c r="A160" s="14" t="s">
        <v>158</v>
      </c>
      <c r="B160" s="14" t="s">
        <v>159</v>
      </c>
      <c r="C160" s="14" t="s">
        <v>160</v>
      </c>
      <c r="D160" s="14" t="s">
        <v>161</v>
      </c>
      <c r="E160" s="14" t="s">
        <v>31</v>
      </c>
      <c r="F160" s="15">
        <v>2021</v>
      </c>
      <c r="G160" s="16">
        <v>15311865</v>
      </c>
      <c r="H160" s="17">
        <v>1087199000</v>
      </c>
      <c r="I160" s="17"/>
      <c r="J160" s="17"/>
      <c r="K160" s="17">
        <v>2634000</v>
      </c>
      <c r="L160" s="17">
        <v>11304000</v>
      </c>
      <c r="M160" s="17">
        <v>24858000</v>
      </c>
      <c r="N160" s="17">
        <v>80659000</v>
      </c>
      <c r="O160" s="17"/>
      <c r="P160" s="17">
        <v>2987000</v>
      </c>
      <c r="Q160" s="17"/>
      <c r="R160" s="17"/>
      <c r="S160" s="17">
        <v>722016000</v>
      </c>
      <c r="T160" s="17">
        <v>145646000</v>
      </c>
      <c r="U160" s="17">
        <v>128182000</v>
      </c>
      <c r="V160" s="17"/>
      <c r="W160" s="18">
        <v>718440000</v>
      </c>
      <c r="X160" s="6" t="s">
        <v>32</v>
      </c>
      <c r="Y160" s="6" t="s">
        <v>162</v>
      </c>
      <c r="Z160" s="6" t="s">
        <v>156</v>
      </c>
      <c r="AA160" s="6" t="s">
        <v>163</v>
      </c>
    </row>
    <row r="161" spans="1:27" ht="12" customHeight="1">
      <c r="A161" s="14" t="s">
        <v>158</v>
      </c>
      <c r="B161" s="14" t="s">
        <v>159</v>
      </c>
      <c r="C161" s="14" t="s">
        <v>160</v>
      </c>
      <c r="D161" s="14" t="s">
        <v>161</v>
      </c>
      <c r="E161" s="14" t="s">
        <v>31</v>
      </c>
      <c r="F161" s="15">
        <v>2022</v>
      </c>
      <c r="G161" s="16">
        <v>27459554</v>
      </c>
      <c r="H161" s="17">
        <v>1486589000</v>
      </c>
      <c r="I161" s="17"/>
      <c r="J161" s="17"/>
      <c r="K161" s="17">
        <v>10443000</v>
      </c>
      <c r="L161" s="17">
        <v>22210000</v>
      </c>
      <c r="M161" s="17">
        <v>34122000</v>
      </c>
      <c r="N161" s="17">
        <v>135362000</v>
      </c>
      <c r="O161" s="17"/>
      <c r="P161" s="17">
        <v>3680000</v>
      </c>
      <c r="Q161" s="17"/>
      <c r="R161" s="17"/>
      <c r="S161" s="17">
        <v>839989000</v>
      </c>
      <c r="T161" s="17">
        <v>425762000</v>
      </c>
      <c r="U161" s="17">
        <v>235006000</v>
      </c>
      <c r="V161" s="17"/>
      <c r="W161" s="18">
        <v>897200000</v>
      </c>
      <c r="X161" s="6" t="s">
        <v>32</v>
      </c>
      <c r="Y161" s="6" t="s">
        <v>162</v>
      </c>
      <c r="Z161" s="6" t="s">
        <v>156</v>
      </c>
      <c r="AA161" s="6" t="s">
        <v>163</v>
      </c>
    </row>
    <row r="162" spans="1:27" ht="12" customHeight="1">
      <c r="A162" s="14" t="s">
        <v>158</v>
      </c>
      <c r="B162" s="14" t="s">
        <v>159</v>
      </c>
      <c r="C162" s="14" t="s">
        <v>160</v>
      </c>
      <c r="D162" s="14" t="s">
        <v>161</v>
      </c>
      <c r="E162" s="14" t="s">
        <v>31</v>
      </c>
      <c r="F162" s="15">
        <v>2023</v>
      </c>
      <c r="G162" s="16">
        <v>31025194</v>
      </c>
      <c r="H162" s="17">
        <v>1679745000</v>
      </c>
      <c r="I162" s="17"/>
      <c r="J162" s="17"/>
      <c r="K162" s="17">
        <v>5992000</v>
      </c>
      <c r="L162" s="17">
        <v>32974000</v>
      </c>
      <c r="M162" s="17">
        <v>35315000</v>
      </c>
      <c r="N162" s="17">
        <v>151458000</v>
      </c>
      <c r="O162" s="17"/>
      <c r="P162" s="17">
        <v>5231000</v>
      </c>
      <c r="Q162" s="17"/>
      <c r="R162" s="17"/>
      <c r="S162" s="17">
        <v>944776000</v>
      </c>
      <c r="T162" s="17">
        <v>521580000</v>
      </c>
      <c r="U162" s="17">
        <v>558920000</v>
      </c>
      <c r="V162" s="17"/>
      <c r="W162" s="18">
        <v>1044113000</v>
      </c>
      <c r="X162" s="6" t="s">
        <v>32</v>
      </c>
      <c r="Y162" s="6" t="s">
        <v>162</v>
      </c>
      <c r="Z162" s="6" t="s">
        <v>156</v>
      </c>
      <c r="AA162" s="6" t="s">
        <v>163</v>
      </c>
    </row>
    <row r="163" spans="1:27" ht="12" customHeight="1">
      <c r="A163" s="14" t="s">
        <v>158</v>
      </c>
      <c r="B163" s="14" t="s">
        <v>159</v>
      </c>
      <c r="C163" s="14" t="s">
        <v>160</v>
      </c>
      <c r="D163" s="14" t="s">
        <v>161</v>
      </c>
      <c r="E163" s="14" t="s">
        <v>31</v>
      </c>
      <c r="F163" s="15">
        <v>2024</v>
      </c>
      <c r="G163" s="16">
        <v>31632992</v>
      </c>
      <c r="H163" s="17">
        <v>1898669000</v>
      </c>
      <c r="I163" s="17"/>
      <c r="J163" s="17"/>
      <c r="K163" s="17">
        <v>4954000</v>
      </c>
      <c r="L163" s="17">
        <v>35744000</v>
      </c>
      <c r="M163" s="17">
        <v>39060000</v>
      </c>
      <c r="N163" s="17">
        <v>140686000</v>
      </c>
      <c r="O163" s="17"/>
      <c r="P163" s="17">
        <v>5192000</v>
      </c>
      <c r="Q163" s="17"/>
      <c r="R163" s="17"/>
      <c r="S163" s="17">
        <v>1018209000</v>
      </c>
      <c r="T163" s="17">
        <v>676106000</v>
      </c>
      <c r="U163" s="17">
        <v>779180000</v>
      </c>
      <c r="V163" s="17"/>
      <c r="W163" s="18">
        <v>1139224000</v>
      </c>
      <c r="X163" s="6" t="s">
        <v>32</v>
      </c>
      <c r="Y163" s="6" t="s">
        <v>162</v>
      </c>
      <c r="Z163" s="6" t="s">
        <v>156</v>
      </c>
      <c r="AA163" s="6" t="s">
        <v>163</v>
      </c>
    </row>
    <row r="164" spans="1:27" ht="12" customHeight="1">
      <c r="A164" s="14" t="s">
        <v>164</v>
      </c>
      <c r="B164" s="14" t="s">
        <v>165</v>
      </c>
      <c r="C164" s="14" t="s">
        <v>166</v>
      </c>
      <c r="D164" s="14" t="s">
        <v>167</v>
      </c>
      <c r="E164" s="14" t="s">
        <v>31</v>
      </c>
      <c r="F164" s="15">
        <v>2019</v>
      </c>
      <c r="G164" s="16">
        <v>23168226</v>
      </c>
      <c r="H164" s="17">
        <v>1052070000</v>
      </c>
      <c r="I164" s="17"/>
      <c r="J164" s="17"/>
      <c r="K164" s="17">
        <v>6532000</v>
      </c>
      <c r="L164" s="17">
        <v>33853000</v>
      </c>
      <c r="M164" s="17">
        <v>41086000</v>
      </c>
      <c r="N164" s="17">
        <v>107437000</v>
      </c>
      <c r="O164" s="17"/>
      <c r="P164" s="17">
        <v>1171000</v>
      </c>
      <c r="Q164" s="17"/>
      <c r="R164" s="17"/>
      <c r="S164" s="17">
        <v>591802000</v>
      </c>
      <c r="T164" s="17">
        <v>311728000</v>
      </c>
      <c r="U164" s="17">
        <v>719703000</v>
      </c>
      <c r="V164" s="17"/>
      <c r="W164" s="18">
        <v>634915000</v>
      </c>
      <c r="X164" s="6" t="s">
        <v>32</v>
      </c>
      <c r="Y164" s="6" t="s">
        <v>168</v>
      </c>
      <c r="Z164" s="6" t="s">
        <v>156</v>
      </c>
      <c r="AA164" s="6" t="s">
        <v>169</v>
      </c>
    </row>
    <row r="165" spans="1:27" ht="12" customHeight="1">
      <c r="A165" s="14" t="s">
        <v>164</v>
      </c>
      <c r="B165" s="14" t="s">
        <v>165</v>
      </c>
      <c r="C165" s="14" t="s">
        <v>166</v>
      </c>
      <c r="D165" s="14" t="s">
        <v>167</v>
      </c>
      <c r="E165" s="14" t="s">
        <v>31</v>
      </c>
      <c r="F165" s="15">
        <v>2020</v>
      </c>
      <c r="G165" s="16">
        <v>7973879</v>
      </c>
      <c r="H165" s="17">
        <v>739600000</v>
      </c>
      <c r="I165" s="17"/>
      <c r="J165" s="17"/>
      <c r="K165" s="17">
        <v>962000</v>
      </c>
      <c r="L165" s="17">
        <v>9224000</v>
      </c>
      <c r="M165" s="17">
        <v>17527000</v>
      </c>
      <c r="N165" s="17">
        <v>39875000</v>
      </c>
      <c r="O165" s="17"/>
      <c r="P165" s="17">
        <v>689000</v>
      </c>
      <c r="Q165" s="17"/>
      <c r="R165" s="17"/>
      <c r="S165" s="17">
        <v>544024000</v>
      </c>
      <c r="T165" s="17">
        <v>43945000</v>
      </c>
      <c r="U165" s="17">
        <v>690772000</v>
      </c>
      <c r="V165" s="17"/>
      <c r="W165" s="18">
        <v>472747000</v>
      </c>
      <c r="X165" s="6" t="s">
        <v>32</v>
      </c>
      <c r="Y165" s="6" t="s">
        <v>168</v>
      </c>
      <c r="Z165" s="6" t="s">
        <v>156</v>
      </c>
      <c r="AA165" s="6" t="s">
        <v>169</v>
      </c>
    </row>
    <row r="166" spans="1:27" ht="12" customHeight="1">
      <c r="A166" s="14" t="s">
        <v>164</v>
      </c>
      <c r="B166" s="14" t="s">
        <v>165</v>
      </c>
      <c r="C166" s="14" t="s">
        <v>166</v>
      </c>
      <c r="D166" s="14" t="s">
        <v>167</v>
      </c>
      <c r="E166" s="14" t="s">
        <v>31</v>
      </c>
      <c r="F166" s="15">
        <v>2021</v>
      </c>
      <c r="G166" s="16">
        <v>14472936</v>
      </c>
      <c r="H166" s="17">
        <v>976598000</v>
      </c>
      <c r="I166" s="17"/>
      <c r="J166" s="17"/>
      <c r="K166" s="17">
        <v>4614000</v>
      </c>
      <c r="L166" s="17">
        <v>12009000</v>
      </c>
      <c r="M166" s="17">
        <v>28383000</v>
      </c>
      <c r="N166" s="17">
        <v>91758000</v>
      </c>
      <c r="O166" s="17"/>
      <c r="P166" s="17">
        <v>1121000</v>
      </c>
      <c r="Q166" s="17"/>
      <c r="R166" s="17"/>
      <c r="S166" s="17">
        <v>531396000</v>
      </c>
      <c r="T166" s="17">
        <v>289823000</v>
      </c>
      <c r="U166" s="17">
        <v>654193000</v>
      </c>
      <c r="V166" s="17"/>
      <c r="W166" s="18">
        <v>634594000</v>
      </c>
      <c r="X166" s="6" t="s">
        <v>32</v>
      </c>
      <c r="Y166" s="6" t="s">
        <v>168</v>
      </c>
      <c r="Z166" s="6" t="s">
        <v>156</v>
      </c>
      <c r="AA166" s="6" t="s">
        <v>169</v>
      </c>
    </row>
    <row r="167" spans="1:27" ht="12" customHeight="1">
      <c r="A167" s="14" t="s">
        <v>164</v>
      </c>
      <c r="B167" s="14" t="s">
        <v>165</v>
      </c>
      <c r="C167" s="14" t="s">
        <v>166</v>
      </c>
      <c r="D167" s="14" t="s">
        <v>167</v>
      </c>
      <c r="E167" s="14" t="s">
        <v>31</v>
      </c>
      <c r="F167" s="15">
        <v>2022</v>
      </c>
      <c r="G167" s="16">
        <v>21796929</v>
      </c>
      <c r="H167" s="17">
        <v>1142687000</v>
      </c>
      <c r="I167" s="17"/>
      <c r="J167" s="17"/>
      <c r="K167" s="17">
        <v>6379000</v>
      </c>
      <c r="L167" s="17">
        <v>19635000</v>
      </c>
      <c r="M167" s="17">
        <v>44041000</v>
      </c>
      <c r="N167" s="17">
        <v>146273000</v>
      </c>
      <c r="O167" s="17"/>
      <c r="P167" s="17">
        <v>1204000</v>
      </c>
      <c r="Q167" s="17"/>
      <c r="R167" s="17"/>
      <c r="S167" s="17">
        <v>628688000</v>
      </c>
      <c r="T167" s="17">
        <v>340431000</v>
      </c>
      <c r="U167" s="17">
        <v>515522000</v>
      </c>
      <c r="V167" s="17"/>
      <c r="W167" s="18">
        <v>637335000</v>
      </c>
      <c r="X167" s="6" t="s">
        <v>32</v>
      </c>
      <c r="Y167" s="6" t="s">
        <v>168</v>
      </c>
      <c r="Z167" s="6" t="s">
        <v>156</v>
      </c>
      <c r="AA167" s="6" t="s">
        <v>169</v>
      </c>
    </row>
    <row r="168" spans="1:27" ht="12" customHeight="1">
      <c r="A168" s="14" t="s">
        <v>164</v>
      </c>
      <c r="B168" s="14" t="s">
        <v>165</v>
      </c>
      <c r="C168" s="14" t="s">
        <v>166</v>
      </c>
      <c r="D168" s="14" t="s">
        <v>167</v>
      </c>
      <c r="E168" s="14" t="s">
        <v>31</v>
      </c>
      <c r="F168" s="15">
        <v>2023</v>
      </c>
      <c r="G168" s="16">
        <v>24556503</v>
      </c>
      <c r="H168" s="17">
        <v>1357187000</v>
      </c>
      <c r="I168" s="17"/>
      <c r="J168" s="17"/>
      <c r="K168" s="17">
        <v>22009000</v>
      </c>
      <c r="L168" s="17">
        <v>35905000</v>
      </c>
      <c r="M168" s="17">
        <v>51928000</v>
      </c>
      <c r="N168" s="17">
        <v>166997000</v>
      </c>
      <c r="O168" s="17"/>
      <c r="P168" s="17">
        <v>1212000</v>
      </c>
      <c r="Q168" s="17"/>
      <c r="R168" s="17"/>
      <c r="S168" s="17">
        <v>749584000</v>
      </c>
      <c r="T168" s="17">
        <v>367792000</v>
      </c>
      <c r="U168" s="17">
        <v>225818000</v>
      </c>
      <c r="V168" s="17"/>
      <c r="W168" s="18">
        <v>751529000</v>
      </c>
      <c r="X168" s="6" t="s">
        <v>32</v>
      </c>
      <c r="Y168" s="6" t="s">
        <v>168</v>
      </c>
      <c r="Z168" s="6" t="s">
        <v>156</v>
      </c>
      <c r="AA168" s="6" t="s">
        <v>169</v>
      </c>
    </row>
    <row r="169" spans="1:27" ht="12" customHeight="1">
      <c r="A169" s="14" t="s">
        <v>164</v>
      </c>
      <c r="B169" s="14" t="s">
        <v>165</v>
      </c>
      <c r="C169" s="14" t="s">
        <v>166</v>
      </c>
      <c r="D169" s="14" t="s">
        <v>167</v>
      </c>
      <c r="E169" s="14" t="s">
        <v>31</v>
      </c>
      <c r="F169" s="15">
        <v>2024</v>
      </c>
      <c r="G169" s="16">
        <v>24426685</v>
      </c>
      <c r="H169" s="17">
        <v>1391598000</v>
      </c>
      <c r="I169" s="17"/>
      <c r="J169" s="17"/>
      <c r="K169" s="17">
        <v>24876000</v>
      </c>
      <c r="L169" s="17">
        <v>46193000</v>
      </c>
      <c r="M169" s="17">
        <v>57221000</v>
      </c>
      <c r="N169" s="17">
        <v>159208000</v>
      </c>
      <c r="O169" s="17"/>
      <c r="P169" s="17">
        <v>1217000</v>
      </c>
      <c r="Q169" s="17"/>
      <c r="R169" s="17"/>
      <c r="S169" s="17">
        <v>785968000</v>
      </c>
      <c r="T169" s="17">
        <v>364605000</v>
      </c>
      <c r="U169" s="17">
        <v>429118000</v>
      </c>
      <c r="V169" s="17"/>
      <c r="W169" s="18">
        <v>773528000</v>
      </c>
      <c r="X169" s="6" t="s">
        <v>32</v>
      </c>
      <c r="Y169" s="6" t="s">
        <v>168</v>
      </c>
      <c r="Z169" s="6" t="s">
        <v>156</v>
      </c>
      <c r="AA169" s="6" t="s">
        <v>169</v>
      </c>
    </row>
    <row r="170" spans="1:27" ht="12" customHeight="1">
      <c r="A170" s="14" t="s">
        <v>170</v>
      </c>
      <c r="B170" s="14" t="s">
        <v>171</v>
      </c>
      <c r="C170" s="14" t="s">
        <v>160</v>
      </c>
      <c r="D170" s="14" t="s">
        <v>161</v>
      </c>
      <c r="E170" s="14" t="s">
        <v>31</v>
      </c>
      <c r="F170" s="15">
        <v>2019</v>
      </c>
      <c r="G170" s="16">
        <v>15542447</v>
      </c>
      <c r="H170" s="17">
        <v>429046000</v>
      </c>
      <c r="I170" s="17"/>
      <c r="J170" s="17"/>
      <c r="K170" s="17">
        <v>1351000</v>
      </c>
      <c r="L170" s="17">
        <v>3005000</v>
      </c>
      <c r="M170" s="17">
        <v>15476000</v>
      </c>
      <c r="N170" s="17">
        <v>41928000</v>
      </c>
      <c r="O170" s="17"/>
      <c r="P170" s="17">
        <v>234000</v>
      </c>
      <c r="Q170" s="17"/>
      <c r="R170" s="17"/>
      <c r="S170" s="17">
        <v>370045000</v>
      </c>
      <c r="T170" s="17">
        <v>-65008000</v>
      </c>
      <c r="U170" s="17">
        <v>732177000</v>
      </c>
      <c r="V170" s="17"/>
      <c r="W170" s="18">
        <v>318825000</v>
      </c>
      <c r="X170" s="6" t="s">
        <v>32</v>
      </c>
      <c r="Y170" s="6" t="s">
        <v>172</v>
      </c>
      <c r="Z170" s="6" t="s">
        <v>156</v>
      </c>
      <c r="AA170" s="6" t="s">
        <v>169</v>
      </c>
    </row>
    <row r="171" spans="1:27" ht="12" customHeight="1">
      <c r="A171" s="14" t="s">
        <v>170</v>
      </c>
      <c r="B171" s="14" t="s">
        <v>171</v>
      </c>
      <c r="C171" s="14" t="s">
        <v>160</v>
      </c>
      <c r="D171" s="14" t="s">
        <v>161</v>
      </c>
      <c r="E171" s="14" t="s">
        <v>31</v>
      </c>
      <c r="F171" s="15">
        <v>2020</v>
      </c>
      <c r="G171" s="16">
        <v>4184418</v>
      </c>
      <c r="H171" s="17">
        <v>326552000</v>
      </c>
      <c r="I171" s="17"/>
      <c r="J171" s="17"/>
      <c r="K171" s="17">
        <v>559000</v>
      </c>
      <c r="L171" s="17">
        <v>988000</v>
      </c>
      <c r="M171" s="17">
        <v>9386000</v>
      </c>
      <c r="N171" s="17">
        <v>23878000</v>
      </c>
      <c r="O171" s="17"/>
      <c r="P171" s="17">
        <v>606000</v>
      </c>
      <c r="Q171" s="17"/>
      <c r="R171" s="17"/>
      <c r="S171" s="17">
        <v>342727000</v>
      </c>
      <c r="T171" s="17">
        <v>-184847000</v>
      </c>
      <c r="U171" s="17">
        <v>433558000</v>
      </c>
      <c r="V171" s="17"/>
      <c r="W171" s="18">
        <v>259370000</v>
      </c>
      <c r="X171" s="6" t="s">
        <v>32</v>
      </c>
      <c r="Y171" s="6" t="s">
        <v>172</v>
      </c>
      <c r="Z171" s="6" t="s">
        <v>156</v>
      </c>
      <c r="AA171" s="6" t="s">
        <v>169</v>
      </c>
    </row>
    <row r="172" spans="1:27" ht="12" customHeight="1">
      <c r="A172" s="14" t="s">
        <v>170</v>
      </c>
      <c r="B172" s="14" t="s">
        <v>171</v>
      </c>
      <c r="C172" s="14" t="s">
        <v>160</v>
      </c>
      <c r="D172" s="14" t="s">
        <v>161</v>
      </c>
      <c r="E172" s="14" t="s">
        <v>31</v>
      </c>
      <c r="F172" s="15">
        <v>2021</v>
      </c>
      <c r="G172" s="16">
        <v>7870201</v>
      </c>
      <c r="H172" s="17">
        <v>391705000</v>
      </c>
      <c r="I172" s="17"/>
      <c r="J172" s="17"/>
      <c r="K172" s="17">
        <v>945000</v>
      </c>
      <c r="L172" s="17">
        <v>1710000</v>
      </c>
      <c r="M172" s="17">
        <v>13804000</v>
      </c>
      <c r="N172" s="17">
        <v>47769000</v>
      </c>
      <c r="O172" s="17"/>
      <c r="P172" s="17">
        <v>354000</v>
      </c>
      <c r="Q172" s="17"/>
      <c r="R172" s="17"/>
      <c r="S172" s="17">
        <v>313622000</v>
      </c>
      <c r="T172" s="17">
        <v>-116674000</v>
      </c>
      <c r="U172" s="17">
        <v>362179000</v>
      </c>
      <c r="V172" s="17"/>
      <c r="W172" s="18">
        <v>285282000</v>
      </c>
      <c r="X172" s="6" t="s">
        <v>32</v>
      </c>
      <c r="Y172" s="6" t="s">
        <v>172</v>
      </c>
      <c r="Z172" s="6" t="s">
        <v>156</v>
      </c>
      <c r="AA172" s="6" t="s">
        <v>169</v>
      </c>
    </row>
    <row r="173" spans="1:27" ht="12" customHeight="1">
      <c r="A173" s="14" t="s">
        <v>170</v>
      </c>
      <c r="B173" s="14" t="s">
        <v>171</v>
      </c>
      <c r="C173" s="14" t="s">
        <v>160</v>
      </c>
      <c r="D173" s="14" t="s">
        <v>161</v>
      </c>
      <c r="E173" s="14" t="s">
        <v>31</v>
      </c>
      <c r="F173" s="15">
        <v>2022</v>
      </c>
      <c r="G173" s="16">
        <v>14453348</v>
      </c>
      <c r="H173" s="17">
        <v>526043000</v>
      </c>
      <c r="I173" s="17"/>
      <c r="J173" s="17"/>
      <c r="K173" s="17">
        <v>2968000</v>
      </c>
      <c r="L173" s="17">
        <v>1663000</v>
      </c>
      <c r="M173" s="17">
        <v>18225000</v>
      </c>
      <c r="N173" s="17">
        <v>79947000</v>
      </c>
      <c r="O173" s="17"/>
      <c r="P173" s="17">
        <v>333000</v>
      </c>
      <c r="Q173" s="17"/>
      <c r="R173" s="17"/>
      <c r="S173" s="17">
        <v>372416000</v>
      </c>
      <c r="T173" s="17">
        <v>-113745000</v>
      </c>
      <c r="U173" s="17">
        <v>476148000</v>
      </c>
      <c r="V173" s="17"/>
      <c r="W173" s="18">
        <v>374476000</v>
      </c>
      <c r="X173" s="6" t="s">
        <v>32</v>
      </c>
      <c r="Y173" s="6" t="s">
        <v>172</v>
      </c>
      <c r="Z173" s="6" t="s">
        <v>156</v>
      </c>
      <c r="AA173" s="6" t="s">
        <v>169</v>
      </c>
    </row>
    <row r="174" spans="1:27" ht="12" customHeight="1">
      <c r="A174" s="14" t="s">
        <v>170</v>
      </c>
      <c r="B174" s="14" t="s">
        <v>171</v>
      </c>
      <c r="C174" s="14" t="s">
        <v>160</v>
      </c>
      <c r="D174" s="14" t="s">
        <v>161</v>
      </c>
      <c r="E174" s="14" t="s">
        <v>31</v>
      </c>
      <c r="F174" s="15">
        <v>2023</v>
      </c>
      <c r="G174" s="16">
        <v>16172875</v>
      </c>
      <c r="H174" s="17">
        <v>544156000</v>
      </c>
      <c r="I174" s="17"/>
      <c r="J174" s="17"/>
      <c r="K174" s="17">
        <v>5006000</v>
      </c>
      <c r="L174" s="17">
        <v>1777000</v>
      </c>
      <c r="M174" s="17">
        <v>18747000</v>
      </c>
      <c r="N174" s="17">
        <v>92401000</v>
      </c>
      <c r="O174" s="17"/>
      <c r="P174" s="17">
        <v>336000</v>
      </c>
      <c r="Q174" s="17"/>
      <c r="R174" s="17"/>
      <c r="S174" s="17">
        <v>447274000</v>
      </c>
      <c r="T174" s="17">
        <v>-120330000</v>
      </c>
      <c r="U174" s="17">
        <v>96927000</v>
      </c>
      <c r="V174" s="17"/>
      <c r="W174" s="18">
        <v>370260000</v>
      </c>
      <c r="X174" s="6" t="s">
        <v>32</v>
      </c>
      <c r="Y174" s="6" t="s">
        <v>172</v>
      </c>
      <c r="Z174" s="6" t="s">
        <v>156</v>
      </c>
      <c r="AA174" s="6" t="s">
        <v>169</v>
      </c>
    </row>
    <row r="175" spans="1:27" ht="12" customHeight="1">
      <c r="A175" s="14" t="s">
        <v>170</v>
      </c>
      <c r="B175" s="14" t="s">
        <v>171</v>
      </c>
      <c r="C175" s="14" t="s">
        <v>160</v>
      </c>
      <c r="D175" s="14" t="s">
        <v>161</v>
      </c>
      <c r="E175" s="14" t="s">
        <v>31</v>
      </c>
      <c r="F175" s="15">
        <v>2024</v>
      </c>
      <c r="G175" s="16">
        <v>16771972</v>
      </c>
      <c r="H175" s="17">
        <v>579390000</v>
      </c>
      <c r="I175" s="17"/>
      <c r="J175" s="17"/>
      <c r="K175" s="17">
        <v>7327000</v>
      </c>
      <c r="L175" s="17">
        <v>3313000</v>
      </c>
      <c r="M175" s="17">
        <v>19271000</v>
      </c>
      <c r="N175" s="17">
        <v>94983000</v>
      </c>
      <c r="O175" s="17"/>
      <c r="P175" s="17">
        <v>287000</v>
      </c>
      <c r="Q175" s="17"/>
      <c r="R175" s="17"/>
      <c r="S175" s="17">
        <v>461223000</v>
      </c>
      <c r="T175" s="17">
        <v>-104238000</v>
      </c>
      <c r="U175" s="17">
        <v>80847000</v>
      </c>
      <c r="V175" s="17"/>
      <c r="W175" s="18">
        <v>389160000</v>
      </c>
      <c r="X175" s="6" t="s">
        <v>32</v>
      </c>
      <c r="Y175" s="6" t="s">
        <v>172</v>
      </c>
      <c r="Z175" s="6" t="s">
        <v>156</v>
      </c>
      <c r="AA175" s="6" t="s">
        <v>169</v>
      </c>
    </row>
    <row r="176" spans="1:27" ht="12" customHeight="1">
      <c r="A176" s="14" t="s">
        <v>173</v>
      </c>
      <c r="B176" s="14" t="s">
        <v>174</v>
      </c>
      <c r="C176" s="14" t="s">
        <v>175</v>
      </c>
      <c r="D176" s="14" t="s">
        <v>176</v>
      </c>
      <c r="E176" s="14" t="s">
        <v>31</v>
      </c>
      <c r="F176" s="15">
        <v>2019</v>
      </c>
      <c r="G176" s="16">
        <v>12326926</v>
      </c>
      <c r="H176" s="17">
        <v>458719000</v>
      </c>
      <c r="I176" s="17"/>
      <c r="J176" s="17"/>
      <c r="K176" s="17">
        <v>17170000</v>
      </c>
      <c r="L176" s="17">
        <v>23729000</v>
      </c>
      <c r="M176" s="17">
        <v>15777000</v>
      </c>
      <c r="N176" s="17">
        <v>89254000</v>
      </c>
      <c r="O176" s="17"/>
      <c r="P176" s="17">
        <v>13800000</v>
      </c>
      <c r="Q176" s="17"/>
      <c r="R176" s="17"/>
      <c r="S176" s="17">
        <v>248208000</v>
      </c>
      <c r="T176" s="17">
        <v>36710000</v>
      </c>
      <c r="U176" s="17">
        <v>38118000</v>
      </c>
      <c r="V176" s="17">
        <v>3084545000</v>
      </c>
      <c r="W176" s="18">
        <v>182652000</v>
      </c>
      <c r="X176" s="6" t="s">
        <v>32</v>
      </c>
      <c r="Y176" s="6" t="s">
        <v>177</v>
      </c>
      <c r="Z176" s="6" t="s">
        <v>156</v>
      </c>
      <c r="AA176" s="6" t="s">
        <v>178</v>
      </c>
    </row>
    <row r="177" spans="1:27" ht="12" customHeight="1">
      <c r="A177" s="14" t="s">
        <v>173</v>
      </c>
      <c r="B177" s="14" t="s">
        <v>174</v>
      </c>
      <c r="C177" s="14" t="s">
        <v>175</v>
      </c>
      <c r="D177" s="14" t="s">
        <v>176</v>
      </c>
      <c r="E177" s="14" t="s">
        <v>31</v>
      </c>
      <c r="F177" s="15">
        <v>2020</v>
      </c>
      <c r="G177" s="16">
        <v>4083437</v>
      </c>
      <c r="H177" s="17">
        <v>298447000</v>
      </c>
      <c r="I177" s="17"/>
      <c r="J177" s="17"/>
      <c r="K177" s="17">
        <v>5025000</v>
      </c>
      <c r="L177" s="17">
        <v>5875000</v>
      </c>
      <c r="M177" s="17">
        <v>7343000</v>
      </c>
      <c r="N177" s="17">
        <v>25394000</v>
      </c>
      <c r="O177" s="17"/>
      <c r="P177" s="17">
        <v>7414000</v>
      </c>
      <c r="Q177" s="17"/>
      <c r="R177" s="17"/>
      <c r="S177" s="17">
        <v>214139000</v>
      </c>
      <c r="T177" s="17">
        <v>-88559000</v>
      </c>
      <c r="U177" s="17">
        <v>62327000</v>
      </c>
      <c r="V177" s="17">
        <v>3403451000</v>
      </c>
      <c r="W177" s="18">
        <v>153504000</v>
      </c>
      <c r="X177" s="6" t="s">
        <v>32</v>
      </c>
      <c r="Y177" s="6" t="s">
        <v>177</v>
      </c>
      <c r="Z177" s="6" t="s">
        <v>156</v>
      </c>
      <c r="AA177" s="6" t="s">
        <v>178</v>
      </c>
    </row>
    <row r="178" spans="1:27" ht="12" customHeight="1">
      <c r="A178" s="14" t="s">
        <v>173</v>
      </c>
      <c r="B178" s="14" t="s">
        <v>174</v>
      </c>
      <c r="C178" s="14" t="s">
        <v>175</v>
      </c>
      <c r="D178" s="14" t="s">
        <v>176</v>
      </c>
      <c r="E178" s="14" t="s">
        <v>31</v>
      </c>
      <c r="F178" s="15">
        <v>2021</v>
      </c>
      <c r="G178" s="16">
        <v>7385023</v>
      </c>
      <c r="H178" s="17">
        <v>317813000</v>
      </c>
      <c r="I178" s="17"/>
      <c r="J178" s="17"/>
      <c r="K178" s="17">
        <v>7074000</v>
      </c>
      <c r="L178" s="17">
        <v>5756000</v>
      </c>
      <c r="M178" s="17">
        <v>12464000</v>
      </c>
      <c r="N178" s="17">
        <v>47860000</v>
      </c>
      <c r="O178" s="17"/>
      <c r="P178" s="17">
        <v>8093000</v>
      </c>
      <c r="Q178" s="17"/>
      <c r="R178" s="17"/>
      <c r="S178" s="17">
        <v>215067000</v>
      </c>
      <c r="T178" s="17">
        <v>-67360000</v>
      </c>
      <c r="U178" s="17">
        <v>167127000</v>
      </c>
      <c r="V178" s="17">
        <v>3451951000</v>
      </c>
      <c r="W178" s="18">
        <v>125587000</v>
      </c>
      <c r="X178" s="6" t="s">
        <v>32</v>
      </c>
      <c r="Y178" s="6" t="s">
        <v>177</v>
      </c>
      <c r="Z178" s="6" t="s">
        <v>156</v>
      </c>
      <c r="AA178" s="6" t="s">
        <v>178</v>
      </c>
    </row>
    <row r="179" spans="1:27" ht="12" customHeight="1">
      <c r="A179" s="14" t="s">
        <v>173</v>
      </c>
      <c r="B179" s="14" t="s">
        <v>174</v>
      </c>
      <c r="C179" s="14" t="s">
        <v>175</v>
      </c>
      <c r="D179" s="14" t="s">
        <v>176</v>
      </c>
      <c r="E179" s="14" t="s">
        <v>31</v>
      </c>
      <c r="F179" s="15">
        <v>2022</v>
      </c>
      <c r="G179" s="16">
        <v>10586011</v>
      </c>
      <c r="H179" s="17">
        <v>446818000</v>
      </c>
      <c r="I179" s="17"/>
      <c r="J179" s="17"/>
      <c r="K179" s="17">
        <v>9386000</v>
      </c>
      <c r="L179" s="17">
        <v>4807000</v>
      </c>
      <c r="M179" s="17">
        <v>17848000</v>
      </c>
      <c r="N179" s="17">
        <v>87747000</v>
      </c>
      <c r="O179" s="17"/>
      <c r="P179" s="17">
        <v>10584000</v>
      </c>
      <c r="Q179" s="17"/>
      <c r="R179" s="17"/>
      <c r="S179" s="17">
        <v>242055000</v>
      </c>
      <c r="T179" s="17">
        <v>32873000</v>
      </c>
      <c r="U179" s="17">
        <v>318307000</v>
      </c>
      <c r="V179" s="17">
        <v>3354221000</v>
      </c>
      <c r="W179" s="18">
        <v>187267000</v>
      </c>
      <c r="X179" s="6" t="s">
        <v>32</v>
      </c>
      <c r="Y179" s="6" t="s">
        <v>177</v>
      </c>
      <c r="Z179" s="6" t="s">
        <v>156</v>
      </c>
      <c r="AA179" s="6" t="s">
        <v>178</v>
      </c>
    </row>
    <row r="180" spans="1:27" ht="12" customHeight="1">
      <c r="A180" s="14" t="s">
        <v>173</v>
      </c>
      <c r="B180" s="14" t="s">
        <v>174</v>
      </c>
      <c r="C180" s="14" t="s">
        <v>175</v>
      </c>
      <c r="D180" s="14" t="s">
        <v>176</v>
      </c>
      <c r="E180" s="14" t="s">
        <v>31</v>
      </c>
      <c r="F180" s="15">
        <v>2023</v>
      </c>
      <c r="G180" s="16">
        <v>12385245</v>
      </c>
      <c r="H180" s="17">
        <v>515667000</v>
      </c>
      <c r="I180" s="17"/>
      <c r="J180" s="17"/>
      <c r="K180" s="17">
        <v>10793000</v>
      </c>
      <c r="L180" s="17">
        <v>12417000</v>
      </c>
      <c r="M180" s="17">
        <v>18763000</v>
      </c>
      <c r="N180" s="17">
        <v>111786000</v>
      </c>
      <c r="O180" s="17"/>
      <c r="P180" s="17">
        <v>17116000</v>
      </c>
      <c r="Q180" s="17"/>
      <c r="R180" s="17"/>
      <c r="S180" s="17">
        <v>259340000</v>
      </c>
      <c r="T180" s="17">
        <v>82322000</v>
      </c>
      <c r="U180" s="17">
        <v>100579000</v>
      </c>
      <c r="V180" s="17">
        <v>3398283000</v>
      </c>
      <c r="W180" s="18">
        <v>194548000</v>
      </c>
      <c r="X180" s="6" t="s">
        <v>32</v>
      </c>
      <c r="Y180" s="6" t="s">
        <v>177</v>
      </c>
      <c r="Z180" s="6" t="s">
        <v>156</v>
      </c>
      <c r="AA180" s="6" t="s">
        <v>178</v>
      </c>
    </row>
    <row r="181" spans="1:27" ht="12" customHeight="1">
      <c r="A181" s="14" t="s">
        <v>173</v>
      </c>
      <c r="B181" s="14" t="s">
        <v>174</v>
      </c>
      <c r="C181" s="14" t="s">
        <v>175</v>
      </c>
      <c r="D181" s="14" t="s">
        <v>176</v>
      </c>
      <c r="E181" s="14" t="s">
        <v>31</v>
      </c>
      <c r="F181" s="15">
        <v>2024</v>
      </c>
      <c r="G181" s="16">
        <v>13454238</v>
      </c>
      <c r="H181" s="17">
        <v>531826000</v>
      </c>
      <c r="I181" s="17"/>
      <c r="J181" s="17"/>
      <c r="K181" s="17">
        <v>21115000</v>
      </c>
      <c r="L181" s="17">
        <v>18163000</v>
      </c>
      <c r="M181" s="17">
        <v>19491000</v>
      </c>
      <c r="N181" s="17">
        <v>124692000</v>
      </c>
      <c r="O181" s="17"/>
      <c r="P181" s="17">
        <v>18044000</v>
      </c>
      <c r="Q181" s="17"/>
      <c r="R181" s="17"/>
      <c r="S181" s="17">
        <v>298305000</v>
      </c>
      <c r="T181" s="17">
        <v>62654000</v>
      </c>
      <c r="U181" s="17">
        <v>282519000</v>
      </c>
      <c r="V181" s="17">
        <v>3455469000</v>
      </c>
      <c r="W181" s="18">
        <v>173308000</v>
      </c>
      <c r="X181" s="6" t="s">
        <v>32</v>
      </c>
      <c r="Y181" s="6" t="s">
        <v>177</v>
      </c>
      <c r="Z181" s="6" t="s">
        <v>156</v>
      </c>
      <c r="AA181" s="6" t="s">
        <v>178</v>
      </c>
    </row>
    <row r="182" spans="1:27" ht="12" customHeight="1">
      <c r="A182" s="14" t="s">
        <v>179</v>
      </c>
      <c r="B182" s="14" t="s">
        <v>180</v>
      </c>
      <c r="C182" s="14" t="s">
        <v>181</v>
      </c>
      <c r="D182" s="14" t="s">
        <v>176</v>
      </c>
      <c r="E182" s="14" t="s">
        <v>31</v>
      </c>
      <c r="F182" s="15">
        <v>2019</v>
      </c>
      <c r="G182" s="16">
        <v>11949040</v>
      </c>
      <c r="H182" s="17">
        <v>294890000</v>
      </c>
      <c r="I182" s="17"/>
      <c r="J182" s="17"/>
      <c r="K182" s="17">
        <v>18393000</v>
      </c>
      <c r="L182" s="17">
        <v>6016000</v>
      </c>
      <c r="M182" s="17">
        <v>17531000</v>
      </c>
      <c r="N182" s="17">
        <v>83276000</v>
      </c>
      <c r="O182" s="17"/>
      <c r="P182" s="17">
        <v>9547000</v>
      </c>
      <c r="Q182" s="17"/>
      <c r="R182" s="17"/>
      <c r="S182" s="17">
        <v>193136000</v>
      </c>
      <c r="T182" s="17">
        <v>52483000</v>
      </c>
      <c r="U182" s="17">
        <v>187041000</v>
      </c>
      <c r="V182" s="17">
        <v>1158295000</v>
      </c>
      <c r="W182" s="18">
        <v>137313000</v>
      </c>
      <c r="X182" s="6" t="s">
        <v>32</v>
      </c>
      <c r="Y182" s="6" t="s">
        <v>182</v>
      </c>
      <c r="Z182" s="6" t="s">
        <v>156</v>
      </c>
      <c r="AA182" s="6" t="s">
        <v>178</v>
      </c>
    </row>
    <row r="183" spans="1:27" ht="12" customHeight="1">
      <c r="A183" s="14" t="s">
        <v>179</v>
      </c>
      <c r="B183" s="14" t="s">
        <v>180</v>
      </c>
      <c r="C183" s="14" t="s">
        <v>181</v>
      </c>
      <c r="D183" s="14" t="s">
        <v>176</v>
      </c>
      <c r="E183" s="14" t="s">
        <v>31</v>
      </c>
      <c r="F183" s="15">
        <v>2020</v>
      </c>
      <c r="G183" s="16">
        <v>3767537</v>
      </c>
      <c r="H183" s="17">
        <v>177685000</v>
      </c>
      <c r="I183" s="17"/>
      <c r="J183" s="17"/>
      <c r="K183" s="17">
        <v>5647000</v>
      </c>
      <c r="L183" s="17">
        <v>2044000</v>
      </c>
      <c r="M183" s="17">
        <v>6870000</v>
      </c>
      <c r="N183" s="17">
        <v>28936000</v>
      </c>
      <c r="O183" s="17"/>
      <c r="P183" s="17">
        <v>5556000</v>
      </c>
      <c r="Q183" s="17"/>
      <c r="R183" s="17"/>
      <c r="S183" s="17">
        <v>163594000</v>
      </c>
      <c r="T183" s="17">
        <v>-38061000</v>
      </c>
      <c r="U183" s="17">
        <v>279088000</v>
      </c>
      <c r="V183" s="17">
        <v>1136262000</v>
      </c>
      <c r="W183" s="18">
        <v>107977000</v>
      </c>
      <c r="X183" s="6" t="s">
        <v>32</v>
      </c>
      <c r="Y183" s="6" t="s">
        <v>182</v>
      </c>
      <c r="Z183" s="6" t="s">
        <v>156</v>
      </c>
      <c r="AA183" s="6" t="s">
        <v>178</v>
      </c>
    </row>
    <row r="184" spans="1:27" ht="12" customHeight="1">
      <c r="A184" s="14" t="s">
        <v>179</v>
      </c>
      <c r="B184" s="14" t="s">
        <v>180</v>
      </c>
      <c r="C184" s="14" t="s">
        <v>181</v>
      </c>
      <c r="D184" s="14" t="s">
        <v>176</v>
      </c>
      <c r="E184" s="14" t="s">
        <v>31</v>
      </c>
      <c r="F184" s="15">
        <v>2021</v>
      </c>
      <c r="G184" s="16">
        <v>7048963</v>
      </c>
      <c r="H184" s="17">
        <v>233919000</v>
      </c>
      <c r="I184" s="17"/>
      <c r="J184" s="17"/>
      <c r="K184" s="17">
        <v>7352000</v>
      </c>
      <c r="L184" s="17">
        <v>2684000</v>
      </c>
      <c r="M184" s="17">
        <v>16271000</v>
      </c>
      <c r="N184" s="17">
        <v>52546000</v>
      </c>
      <c r="O184" s="17"/>
      <c r="P184" s="17">
        <v>7389000</v>
      </c>
      <c r="Q184" s="17"/>
      <c r="R184" s="17"/>
      <c r="S184" s="17">
        <v>159719000</v>
      </c>
      <c r="T184" s="17">
        <v>6608000</v>
      </c>
      <c r="U184" s="17">
        <v>1270067000</v>
      </c>
      <c r="V184" s="17">
        <v>1409668000</v>
      </c>
      <c r="W184" s="18">
        <v>126862000</v>
      </c>
      <c r="X184" s="6" t="s">
        <v>32</v>
      </c>
      <c r="Y184" s="6" t="s">
        <v>182</v>
      </c>
      <c r="Z184" s="6" t="s">
        <v>156</v>
      </c>
      <c r="AA184" s="6" t="s">
        <v>178</v>
      </c>
    </row>
    <row r="185" spans="1:27" ht="12" customHeight="1">
      <c r="A185" s="14" t="s">
        <v>179</v>
      </c>
      <c r="B185" s="14" t="s">
        <v>180</v>
      </c>
      <c r="C185" s="14" t="s">
        <v>181</v>
      </c>
      <c r="D185" s="14" t="s">
        <v>176</v>
      </c>
      <c r="E185" s="14" t="s">
        <v>31</v>
      </c>
      <c r="F185" s="15">
        <v>2022</v>
      </c>
      <c r="G185" s="16">
        <v>11969485</v>
      </c>
      <c r="H185" s="17">
        <v>303578000</v>
      </c>
      <c r="I185" s="17"/>
      <c r="J185" s="17"/>
      <c r="K185" s="17">
        <v>10619000</v>
      </c>
      <c r="L185" s="17">
        <v>3244000</v>
      </c>
      <c r="M185" s="17">
        <v>19476000</v>
      </c>
      <c r="N185" s="17">
        <v>95969000</v>
      </c>
      <c r="O185" s="17"/>
      <c r="P185" s="17">
        <v>10544000</v>
      </c>
      <c r="Q185" s="17"/>
      <c r="R185" s="17"/>
      <c r="S185" s="17">
        <v>188225000</v>
      </c>
      <c r="T185" s="17">
        <v>30962000</v>
      </c>
      <c r="U185" s="17">
        <v>58199000</v>
      </c>
      <c r="V185" s="17">
        <v>1258301000</v>
      </c>
      <c r="W185" s="18">
        <v>133293000</v>
      </c>
      <c r="X185" s="6" t="s">
        <v>32</v>
      </c>
      <c r="Y185" s="6" t="s">
        <v>182</v>
      </c>
      <c r="Z185" s="6" t="s">
        <v>156</v>
      </c>
      <c r="AA185" s="6" t="s">
        <v>178</v>
      </c>
    </row>
    <row r="186" spans="1:27" ht="12" customHeight="1">
      <c r="A186" s="14" t="s">
        <v>179</v>
      </c>
      <c r="B186" s="14" t="s">
        <v>180</v>
      </c>
      <c r="C186" s="14" t="s">
        <v>181</v>
      </c>
      <c r="D186" s="14" t="s">
        <v>176</v>
      </c>
      <c r="E186" s="14" t="s">
        <v>31</v>
      </c>
      <c r="F186" s="15">
        <v>2023</v>
      </c>
      <c r="G186" s="16">
        <v>12735187</v>
      </c>
      <c r="H186" s="17">
        <v>318176000</v>
      </c>
      <c r="I186" s="17"/>
      <c r="J186" s="17"/>
      <c r="K186" s="17">
        <v>15323000</v>
      </c>
      <c r="L186" s="17">
        <v>4030000</v>
      </c>
      <c r="M186" s="17">
        <v>21820000</v>
      </c>
      <c r="N186" s="17">
        <v>106656000</v>
      </c>
      <c r="O186" s="17"/>
      <c r="P186" s="17">
        <v>16144000</v>
      </c>
      <c r="Q186" s="17"/>
      <c r="R186" s="17"/>
      <c r="S186" s="17">
        <v>196699000</v>
      </c>
      <c r="T186" s="17">
        <v>32858000</v>
      </c>
      <c r="U186" s="17">
        <v>126530000</v>
      </c>
      <c r="V186" s="17">
        <v>1258056000</v>
      </c>
      <c r="W186" s="18">
        <v>119456000</v>
      </c>
      <c r="X186" s="6" t="s">
        <v>32</v>
      </c>
      <c r="Y186" s="6" t="s">
        <v>182</v>
      </c>
      <c r="Z186" s="6" t="s">
        <v>156</v>
      </c>
      <c r="AA186" s="6" t="s">
        <v>178</v>
      </c>
    </row>
    <row r="187" spans="1:27" ht="12" customHeight="1">
      <c r="A187" s="14" t="s">
        <v>179</v>
      </c>
      <c r="B187" s="14" t="s">
        <v>180</v>
      </c>
      <c r="C187" s="14" t="s">
        <v>181</v>
      </c>
      <c r="D187" s="14" t="s">
        <v>176</v>
      </c>
      <c r="E187" s="14" t="s">
        <v>31</v>
      </c>
      <c r="F187" s="15">
        <v>2024</v>
      </c>
      <c r="G187" s="16">
        <v>13113084</v>
      </c>
      <c r="H187" s="17">
        <v>316019000</v>
      </c>
      <c r="I187" s="17"/>
      <c r="J187" s="17"/>
      <c r="K187" s="17">
        <v>25511000</v>
      </c>
      <c r="L187" s="17">
        <v>4719000</v>
      </c>
      <c r="M187" s="17">
        <v>22890000</v>
      </c>
      <c r="N187" s="17">
        <v>110355000</v>
      </c>
      <c r="O187" s="17"/>
      <c r="P187" s="17">
        <v>16112000</v>
      </c>
      <c r="Q187" s="17"/>
      <c r="R187" s="17"/>
      <c r="S187" s="17">
        <v>225208000</v>
      </c>
      <c r="T187" s="17">
        <v>423000</v>
      </c>
      <c r="U187" s="17">
        <v>95547000</v>
      </c>
      <c r="V187" s="17">
        <v>1369652000</v>
      </c>
      <c r="W187" s="18">
        <v>101424000</v>
      </c>
      <c r="X187" s="6" t="s">
        <v>32</v>
      </c>
      <c r="Y187" s="6" t="s">
        <v>182</v>
      </c>
      <c r="Z187" s="6" t="s">
        <v>156</v>
      </c>
      <c r="AA187" s="6" t="s">
        <v>178</v>
      </c>
    </row>
    <row r="188" spans="1:27" ht="12" customHeight="1">
      <c r="A188" s="14" t="s">
        <v>183</v>
      </c>
      <c r="B188" s="14" t="s">
        <v>184</v>
      </c>
      <c r="C188" s="14" t="s">
        <v>185</v>
      </c>
      <c r="D188" s="14" t="s">
        <v>186</v>
      </c>
      <c r="E188" s="14" t="s">
        <v>31</v>
      </c>
      <c r="F188" s="15">
        <v>2019</v>
      </c>
      <c r="G188" s="16">
        <v>10484451</v>
      </c>
      <c r="H188" s="17">
        <v>290422000</v>
      </c>
      <c r="I188" s="17"/>
      <c r="J188" s="17"/>
      <c r="K188" s="17">
        <v>7138000</v>
      </c>
      <c r="L188" s="17">
        <v>11975000</v>
      </c>
      <c r="M188" s="17">
        <v>18276000</v>
      </c>
      <c r="N188" s="17">
        <v>17788000</v>
      </c>
      <c r="O188" s="17"/>
      <c r="P188" s="17">
        <v>5471000</v>
      </c>
      <c r="Q188" s="17"/>
      <c r="R188" s="17"/>
      <c r="S188" s="17">
        <v>188802000</v>
      </c>
      <c r="T188" s="17">
        <v>36664000</v>
      </c>
      <c r="U188" s="17">
        <v>334076000</v>
      </c>
      <c r="V188" s="17">
        <v>2553500000</v>
      </c>
      <c r="W188" s="18">
        <v>135438000</v>
      </c>
      <c r="X188" s="6" t="s">
        <v>32</v>
      </c>
      <c r="Y188" s="6" t="s">
        <v>187</v>
      </c>
      <c r="Z188" s="6" t="s">
        <v>156</v>
      </c>
      <c r="AA188" s="6" t="s">
        <v>188</v>
      </c>
    </row>
    <row r="189" spans="1:27" ht="12" customHeight="1">
      <c r="A189" s="14" t="s">
        <v>183</v>
      </c>
      <c r="B189" s="14" t="s">
        <v>184</v>
      </c>
      <c r="C189" s="14" t="s">
        <v>185</v>
      </c>
      <c r="D189" s="14" t="s">
        <v>186</v>
      </c>
      <c r="E189" s="14" t="s">
        <v>31</v>
      </c>
      <c r="F189" s="15">
        <v>2020</v>
      </c>
      <c r="G189" s="16">
        <v>7981984</v>
      </c>
      <c r="H189" s="17">
        <v>250691000</v>
      </c>
      <c r="I189" s="17"/>
      <c r="J189" s="17"/>
      <c r="K189" s="17">
        <v>5417000</v>
      </c>
      <c r="L189" s="17">
        <v>8864000</v>
      </c>
      <c r="M189" s="17">
        <v>14318000</v>
      </c>
      <c r="N189" s="17">
        <v>14529000</v>
      </c>
      <c r="O189" s="17"/>
      <c r="P189" s="17">
        <v>5294000</v>
      </c>
      <c r="Q189" s="17"/>
      <c r="R189" s="17"/>
      <c r="S189" s="17">
        <v>194207000</v>
      </c>
      <c r="T189" s="17">
        <v>-15252000</v>
      </c>
      <c r="U189" s="17">
        <v>281475000</v>
      </c>
      <c r="V189" s="17">
        <v>2596230000</v>
      </c>
      <c r="W189" s="18">
        <v>122104000</v>
      </c>
      <c r="X189" s="6" t="s">
        <v>32</v>
      </c>
      <c r="Y189" s="6" t="s">
        <v>187</v>
      </c>
      <c r="Z189" s="6" t="s">
        <v>156</v>
      </c>
      <c r="AA189" s="6" t="s">
        <v>188</v>
      </c>
    </row>
    <row r="190" spans="1:27" ht="12" customHeight="1">
      <c r="A190" s="14" t="s">
        <v>183</v>
      </c>
      <c r="B190" s="14" t="s">
        <v>184</v>
      </c>
      <c r="C190" s="14" t="s">
        <v>185</v>
      </c>
      <c r="D190" s="14" t="s">
        <v>186</v>
      </c>
      <c r="E190" s="14" t="s">
        <v>31</v>
      </c>
      <c r="F190" s="15">
        <v>2021</v>
      </c>
      <c r="G190" s="16">
        <v>3143228</v>
      </c>
      <c r="H190" s="17">
        <v>173769000</v>
      </c>
      <c r="I190" s="17"/>
      <c r="J190" s="17"/>
      <c r="K190" s="17">
        <v>1014000</v>
      </c>
      <c r="L190" s="17">
        <v>286000</v>
      </c>
      <c r="M190" s="17">
        <v>10363000</v>
      </c>
      <c r="N190" s="17">
        <v>7091000</v>
      </c>
      <c r="O190" s="17"/>
      <c r="P190" s="17">
        <v>2584000</v>
      </c>
      <c r="Q190" s="17"/>
      <c r="R190" s="17"/>
      <c r="S190" s="17">
        <v>201408000</v>
      </c>
      <c r="T190" s="17">
        <v>-98269000</v>
      </c>
      <c r="U190" s="17">
        <v>330928000</v>
      </c>
      <c r="V190" s="17">
        <v>2899089000</v>
      </c>
      <c r="W190" s="18">
        <v>107021000</v>
      </c>
      <c r="X190" s="6" t="s">
        <v>32</v>
      </c>
      <c r="Y190" s="6" t="s">
        <v>187</v>
      </c>
      <c r="Z190" s="6" t="s">
        <v>156</v>
      </c>
      <c r="AA190" s="6" t="s">
        <v>188</v>
      </c>
    </row>
    <row r="191" spans="1:27" ht="12" customHeight="1">
      <c r="A191" s="14" t="s">
        <v>183</v>
      </c>
      <c r="B191" s="14" t="s">
        <v>184</v>
      </c>
      <c r="C191" s="14" t="s">
        <v>185</v>
      </c>
      <c r="D191" s="14" t="s">
        <v>186</v>
      </c>
      <c r="E191" s="14" t="s">
        <v>31</v>
      </c>
      <c r="F191" s="15">
        <v>2022</v>
      </c>
      <c r="G191" s="16">
        <v>7919496</v>
      </c>
      <c r="H191" s="17">
        <v>245087000</v>
      </c>
      <c r="I191" s="17"/>
      <c r="J191" s="17"/>
      <c r="K191" s="17">
        <v>3932000</v>
      </c>
      <c r="L191" s="17">
        <v>5849000</v>
      </c>
      <c r="M191" s="17">
        <v>29390000</v>
      </c>
      <c r="N191" s="17">
        <v>16729000</v>
      </c>
      <c r="O191" s="17"/>
      <c r="P191" s="17">
        <v>4792000</v>
      </c>
      <c r="Q191" s="17"/>
      <c r="R191" s="17"/>
      <c r="S191" s="17">
        <v>209891000</v>
      </c>
      <c r="T191" s="17">
        <v>-52724000</v>
      </c>
      <c r="U191" s="17">
        <v>132345000</v>
      </c>
      <c r="V191" s="17">
        <v>3010506000</v>
      </c>
      <c r="W191" s="18">
        <v>131017000</v>
      </c>
      <c r="X191" s="6" t="s">
        <v>32</v>
      </c>
      <c r="Y191" s="6" t="s">
        <v>187</v>
      </c>
      <c r="Z191" s="6" t="s">
        <v>156</v>
      </c>
      <c r="AA191" s="6" t="s">
        <v>188</v>
      </c>
    </row>
    <row r="192" spans="1:27" ht="12" customHeight="1">
      <c r="A192" s="14" t="s">
        <v>183</v>
      </c>
      <c r="B192" s="14" t="s">
        <v>184</v>
      </c>
      <c r="C192" s="14" t="s">
        <v>185</v>
      </c>
      <c r="D192" s="14" t="s">
        <v>186</v>
      </c>
      <c r="E192" s="14" t="s">
        <v>31</v>
      </c>
      <c r="F192" s="15">
        <v>2023</v>
      </c>
      <c r="G192" s="16">
        <v>10176286</v>
      </c>
      <c r="H192" s="17">
        <v>288119000</v>
      </c>
      <c r="I192" s="17"/>
      <c r="J192" s="17"/>
      <c r="K192" s="17">
        <v>6513000</v>
      </c>
      <c r="L192" s="17">
        <v>11647000</v>
      </c>
      <c r="M192" s="17">
        <v>28901000</v>
      </c>
      <c r="N192" s="17">
        <v>21964000</v>
      </c>
      <c r="O192" s="17"/>
      <c r="P192" s="17">
        <v>7358000</v>
      </c>
      <c r="Q192" s="17"/>
      <c r="R192" s="17"/>
      <c r="S192" s="17">
        <v>216123000</v>
      </c>
      <c r="T192" s="17">
        <v>-36813000</v>
      </c>
      <c r="U192" s="17">
        <v>128033000</v>
      </c>
      <c r="V192" s="17">
        <v>1685636000</v>
      </c>
      <c r="W192" s="18">
        <v>148940000</v>
      </c>
      <c r="X192" s="6" t="s">
        <v>32</v>
      </c>
      <c r="Y192" s="6" t="s">
        <v>187</v>
      </c>
      <c r="Z192" s="6" t="s">
        <v>156</v>
      </c>
      <c r="AA192" s="6" t="s">
        <v>188</v>
      </c>
    </row>
    <row r="193" spans="1:27" ht="12" customHeight="1">
      <c r="A193" s="14" t="s">
        <v>183</v>
      </c>
      <c r="B193" s="14" t="s">
        <v>184</v>
      </c>
      <c r="C193" s="14" t="s">
        <v>185</v>
      </c>
      <c r="D193" s="14" t="s">
        <v>186</v>
      </c>
      <c r="E193" s="14" t="s">
        <v>31</v>
      </c>
      <c r="F193" s="15">
        <v>2024</v>
      </c>
      <c r="G193" s="16">
        <v>10868465</v>
      </c>
      <c r="H193" s="17">
        <v>380805000</v>
      </c>
      <c r="I193" s="17"/>
      <c r="J193" s="17"/>
      <c r="K193" s="17">
        <v>5074000</v>
      </c>
      <c r="L193" s="17">
        <v>26395000</v>
      </c>
      <c r="M193" s="17">
        <v>19257000</v>
      </c>
      <c r="N193" s="17">
        <v>21422000</v>
      </c>
      <c r="O193" s="17"/>
      <c r="P193" s="17">
        <v>6634000</v>
      </c>
      <c r="Q193" s="17"/>
      <c r="R193" s="17"/>
      <c r="S193" s="17">
        <v>269556000</v>
      </c>
      <c r="T193" s="17">
        <v>-1646000</v>
      </c>
      <c r="U193" s="17">
        <v>204519000</v>
      </c>
      <c r="V193" s="17">
        <v>1645128000</v>
      </c>
      <c r="W193" s="18">
        <v>227370000</v>
      </c>
      <c r="X193" s="6" t="s">
        <v>32</v>
      </c>
      <c r="Y193" s="6" t="s">
        <v>187</v>
      </c>
      <c r="Z193" s="6" t="s">
        <v>156</v>
      </c>
      <c r="AA193" s="6" t="s">
        <v>188</v>
      </c>
    </row>
    <row r="194" spans="1:27" ht="12" customHeight="1">
      <c r="A194" s="14" t="s">
        <v>189</v>
      </c>
      <c r="B194" s="14" t="s">
        <v>190</v>
      </c>
      <c r="C194" s="14" t="s">
        <v>66</v>
      </c>
      <c r="D194" s="14" t="s">
        <v>67</v>
      </c>
      <c r="E194" s="14" t="s">
        <v>31</v>
      </c>
      <c r="F194" s="15">
        <v>2019</v>
      </c>
      <c r="G194" s="16">
        <v>10417815</v>
      </c>
      <c r="H194" s="17">
        <v>227534000</v>
      </c>
      <c r="I194" s="17"/>
      <c r="J194" s="17"/>
      <c r="K194" s="17">
        <v>16227000</v>
      </c>
      <c r="L194" s="17">
        <v>7597000</v>
      </c>
      <c r="M194" s="17">
        <v>11636000</v>
      </c>
      <c r="N194" s="17">
        <v>34430000</v>
      </c>
      <c r="O194" s="17"/>
      <c r="P194" s="17">
        <v>109000</v>
      </c>
      <c r="Q194" s="17"/>
      <c r="R194" s="17"/>
      <c r="S194" s="17">
        <v>188182000</v>
      </c>
      <c r="T194" s="17">
        <v>-12655000</v>
      </c>
      <c r="U194" s="17">
        <v>144065000</v>
      </c>
      <c r="V194" s="17">
        <v>1773987000</v>
      </c>
      <c r="W194" s="18">
        <v>123170000</v>
      </c>
      <c r="X194" s="6" t="s">
        <v>32</v>
      </c>
      <c r="Y194" s="6" t="s">
        <v>191</v>
      </c>
      <c r="Z194" s="6" t="s">
        <v>156</v>
      </c>
      <c r="AA194" s="6" t="s">
        <v>157</v>
      </c>
    </row>
    <row r="195" spans="1:27" ht="12" customHeight="1">
      <c r="A195" s="14" t="s">
        <v>189</v>
      </c>
      <c r="B195" s="14" t="s">
        <v>190</v>
      </c>
      <c r="C195" s="14" t="s">
        <v>66</v>
      </c>
      <c r="D195" s="14" t="s">
        <v>67</v>
      </c>
      <c r="E195" s="14" t="s">
        <v>31</v>
      </c>
      <c r="F195" s="15">
        <v>2020</v>
      </c>
      <c r="G195" s="16">
        <v>4445906</v>
      </c>
      <c r="H195" s="17">
        <v>187740000</v>
      </c>
      <c r="I195" s="17"/>
      <c r="J195" s="17"/>
      <c r="K195" s="17">
        <v>13390000</v>
      </c>
      <c r="L195" s="17">
        <v>7301000</v>
      </c>
      <c r="M195" s="17">
        <v>10194000</v>
      </c>
      <c r="N195" s="17">
        <v>14299000</v>
      </c>
      <c r="O195" s="17"/>
      <c r="P195" s="17">
        <v>110000</v>
      </c>
      <c r="Q195" s="17"/>
      <c r="R195" s="17"/>
      <c r="S195" s="17">
        <v>163891000</v>
      </c>
      <c r="T195" s="17">
        <v>-26169000</v>
      </c>
      <c r="U195" s="17">
        <v>72406000</v>
      </c>
      <c r="V195" s="17">
        <v>1737387000</v>
      </c>
      <c r="W195" s="18">
        <v>112278000</v>
      </c>
      <c r="X195" s="6" t="s">
        <v>32</v>
      </c>
      <c r="Y195" s="6" t="s">
        <v>191</v>
      </c>
      <c r="Z195" s="6" t="s">
        <v>156</v>
      </c>
      <c r="AA195" s="6" t="s">
        <v>157</v>
      </c>
    </row>
    <row r="196" spans="1:27" ht="12" customHeight="1">
      <c r="A196" s="14" t="s">
        <v>189</v>
      </c>
      <c r="B196" s="14" t="s">
        <v>190</v>
      </c>
      <c r="C196" s="14" t="s">
        <v>66</v>
      </c>
      <c r="D196" s="14" t="s">
        <v>67</v>
      </c>
      <c r="E196" s="14" t="s">
        <v>31</v>
      </c>
      <c r="F196" s="15">
        <v>2021</v>
      </c>
      <c r="G196" s="16">
        <v>7924344</v>
      </c>
      <c r="H196" s="17">
        <v>220829000</v>
      </c>
      <c r="I196" s="17"/>
      <c r="J196" s="17"/>
      <c r="K196" s="17">
        <v>13652000</v>
      </c>
      <c r="L196" s="17">
        <v>5673000</v>
      </c>
      <c r="M196" s="17">
        <v>10339000</v>
      </c>
      <c r="N196" s="17">
        <v>27797000</v>
      </c>
      <c r="O196" s="17"/>
      <c r="P196" s="17">
        <v>145000</v>
      </c>
      <c r="Q196" s="17"/>
      <c r="R196" s="17"/>
      <c r="S196" s="17">
        <v>189300000</v>
      </c>
      <c r="T196" s="17">
        <v>-21107000</v>
      </c>
      <c r="U196" s="17">
        <v>16418000</v>
      </c>
      <c r="V196" s="17">
        <v>1675401000</v>
      </c>
      <c r="W196" s="18">
        <v>136013000</v>
      </c>
      <c r="X196" s="6" t="s">
        <v>32</v>
      </c>
      <c r="Y196" s="6" t="s">
        <v>191</v>
      </c>
      <c r="Z196" s="6" t="s">
        <v>156</v>
      </c>
      <c r="AA196" s="6" t="s">
        <v>157</v>
      </c>
    </row>
    <row r="197" spans="1:27" ht="12" customHeight="1">
      <c r="A197" s="14" t="s">
        <v>189</v>
      </c>
      <c r="B197" s="14" t="s">
        <v>190</v>
      </c>
      <c r="C197" s="14" t="s">
        <v>66</v>
      </c>
      <c r="D197" s="14" t="s">
        <v>67</v>
      </c>
      <c r="E197" s="14" t="s">
        <v>31</v>
      </c>
      <c r="F197" s="15">
        <v>2022</v>
      </c>
      <c r="G197" s="16">
        <v>9946882</v>
      </c>
      <c r="H197" s="17">
        <v>232423000</v>
      </c>
      <c r="I197" s="17"/>
      <c r="J197" s="17"/>
      <c r="K197" s="17">
        <v>9685000</v>
      </c>
      <c r="L197" s="17">
        <v>5079000</v>
      </c>
      <c r="M197" s="17">
        <v>8913000</v>
      </c>
      <c r="N197" s="17">
        <v>35901000</v>
      </c>
      <c r="O197" s="17"/>
      <c r="P197" s="17">
        <v>115000</v>
      </c>
      <c r="Q197" s="17"/>
      <c r="R197" s="17"/>
      <c r="S197" s="17">
        <v>185764000</v>
      </c>
      <c r="T197" s="17">
        <v>-10686000</v>
      </c>
      <c r="U197" s="17">
        <v>12049000</v>
      </c>
      <c r="V197" s="17">
        <v>1543404000</v>
      </c>
      <c r="W197" s="18">
        <v>135673000</v>
      </c>
      <c r="X197" s="6" t="s">
        <v>32</v>
      </c>
      <c r="Y197" s="6" t="s">
        <v>191</v>
      </c>
      <c r="Z197" s="6" t="s">
        <v>156</v>
      </c>
      <c r="AA197" s="6" t="s">
        <v>157</v>
      </c>
    </row>
    <row r="198" spans="1:27" ht="12" customHeight="1">
      <c r="A198" s="14" t="s">
        <v>189</v>
      </c>
      <c r="B198" s="14" t="s">
        <v>190</v>
      </c>
      <c r="C198" s="14" t="s">
        <v>66</v>
      </c>
      <c r="D198" s="14" t="s">
        <v>67</v>
      </c>
      <c r="E198" s="14" t="s">
        <v>31</v>
      </c>
      <c r="F198" s="15">
        <v>2023</v>
      </c>
      <c r="G198" s="16">
        <v>10987775</v>
      </c>
      <c r="H198" s="17">
        <v>296833000</v>
      </c>
      <c r="I198" s="17"/>
      <c r="J198" s="17"/>
      <c r="K198" s="17">
        <v>16958000</v>
      </c>
      <c r="L198" s="17">
        <v>8062000</v>
      </c>
      <c r="M198" s="17">
        <v>10251000</v>
      </c>
      <c r="N198" s="17">
        <v>39567000</v>
      </c>
      <c r="O198" s="17"/>
      <c r="P198" s="17">
        <v>54000</v>
      </c>
      <c r="Q198" s="17"/>
      <c r="R198" s="17"/>
      <c r="S198" s="17">
        <v>210695000</v>
      </c>
      <c r="T198" s="17">
        <v>86139000</v>
      </c>
      <c r="U198" s="17">
        <v>8929000</v>
      </c>
      <c r="V198" s="17">
        <v>1513011000</v>
      </c>
      <c r="W198" s="18">
        <v>177927000</v>
      </c>
      <c r="X198" s="6" t="s">
        <v>32</v>
      </c>
      <c r="Y198" s="6" t="s">
        <v>191</v>
      </c>
      <c r="Z198" s="6" t="s">
        <v>156</v>
      </c>
      <c r="AA198" s="6" t="s">
        <v>157</v>
      </c>
    </row>
    <row r="199" spans="1:27" ht="12" customHeight="1">
      <c r="A199" s="14" t="s">
        <v>189</v>
      </c>
      <c r="B199" s="14" t="s">
        <v>190</v>
      </c>
      <c r="C199" s="14" t="s">
        <v>66</v>
      </c>
      <c r="D199" s="14" t="s">
        <v>67</v>
      </c>
      <c r="E199" s="14" t="s">
        <v>31</v>
      </c>
      <c r="F199" s="15">
        <v>2024</v>
      </c>
      <c r="G199" s="16">
        <v>10707000</v>
      </c>
      <c r="H199" s="17">
        <v>288948000</v>
      </c>
      <c r="I199" s="17"/>
      <c r="J199" s="17"/>
      <c r="K199" s="17">
        <v>14840000</v>
      </c>
      <c r="L199" s="17">
        <v>7802000</v>
      </c>
      <c r="M199" s="17">
        <v>10561000</v>
      </c>
      <c r="N199" s="17">
        <v>38467000</v>
      </c>
      <c r="O199" s="17"/>
      <c r="P199" s="17">
        <v>76000</v>
      </c>
      <c r="Q199" s="17"/>
      <c r="R199" s="17"/>
      <c r="S199" s="17">
        <v>197953000</v>
      </c>
      <c r="T199" s="17">
        <v>35131000</v>
      </c>
      <c r="U199" s="17">
        <v>18876000</v>
      </c>
      <c r="V199" s="17">
        <v>1412373000</v>
      </c>
      <c r="W199" s="18">
        <v>166924000</v>
      </c>
      <c r="X199" s="6" t="s">
        <v>32</v>
      </c>
      <c r="Y199" s="6" t="s">
        <v>191</v>
      </c>
      <c r="Z199" s="6" t="s">
        <v>156</v>
      </c>
      <c r="AA199" s="6" t="s">
        <v>157</v>
      </c>
    </row>
    <row r="200" spans="1:27" ht="12" customHeight="1">
      <c r="A200" s="2"/>
      <c r="B200" s="2"/>
      <c r="C200" s="2"/>
      <c r="D200" s="2"/>
      <c r="E200" s="2"/>
      <c r="F200" s="3"/>
      <c r="G200" s="4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spans="1:27" ht="12" customHeight="1">
      <c r="A201" s="2"/>
      <c r="B201" s="2"/>
      <c r="C201" s="2"/>
      <c r="D201" s="2"/>
      <c r="E201" s="2"/>
      <c r="F201" s="3"/>
      <c r="G201" s="4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spans="1:27" ht="12" customHeight="1">
      <c r="A202" s="2"/>
      <c r="B202" s="2"/>
      <c r="C202" s="2"/>
      <c r="D202" s="2"/>
      <c r="E202" s="2"/>
      <c r="F202" s="3"/>
      <c r="G202" s="4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spans="1:27" ht="12" customHeight="1">
      <c r="A203" s="2"/>
      <c r="B203" s="2"/>
      <c r="C203" s="2"/>
      <c r="D203" s="2"/>
      <c r="E203" s="2"/>
      <c r="F203" s="3"/>
      <c r="G203" s="4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spans="1:27" ht="12" customHeight="1">
      <c r="A204" s="2"/>
      <c r="B204" s="2"/>
      <c r="C204" s="2"/>
      <c r="D204" s="2"/>
      <c r="E204" s="2"/>
      <c r="F204" s="3"/>
      <c r="G204" s="4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spans="1:27" ht="12" customHeight="1">
      <c r="A205" s="2"/>
      <c r="B205" s="2"/>
      <c r="C205" s="2"/>
      <c r="D205" s="2"/>
      <c r="E205" s="2"/>
      <c r="F205" s="3"/>
      <c r="G205" s="4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spans="1:27" ht="12" customHeight="1">
      <c r="A206" s="2"/>
      <c r="B206" s="2"/>
      <c r="C206" s="2"/>
      <c r="D206" s="2"/>
      <c r="E206" s="2"/>
      <c r="F206" s="3"/>
      <c r="G206" s="4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spans="1:27" ht="12" customHeight="1">
      <c r="A207" s="2"/>
      <c r="B207" s="2"/>
      <c r="C207" s="2"/>
      <c r="D207" s="2"/>
      <c r="E207" s="2"/>
      <c r="F207" s="3"/>
      <c r="G207" s="4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spans="1:27" ht="12" customHeight="1">
      <c r="A208" s="2"/>
      <c r="B208" s="2"/>
      <c r="C208" s="2"/>
      <c r="D208" s="2"/>
      <c r="E208" s="2"/>
      <c r="F208" s="3"/>
      <c r="G208" s="4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spans="1:22" ht="12" customHeight="1">
      <c r="A209" s="2"/>
      <c r="B209" s="2"/>
      <c r="C209" s="2"/>
      <c r="D209" s="2"/>
      <c r="E209" s="2"/>
      <c r="F209" s="3"/>
      <c r="G209" s="4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spans="1:22" ht="12" customHeight="1">
      <c r="A210" s="2"/>
      <c r="B210" s="2"/>
      <c r="C210" s="2"/>
      <c r="D210" s="2"/>
      <c r="E210" s="2"/>
      <c r="F210" s="3"/>
      <c r="G210" s="4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spans="1:22" ht="12" customHeight="1">
      <c r="A211" s="2"/>
      <c r="B211" s="2"/>
      <c r="C211" s="2"/>
      <c r="D211" s="2"/>
      <c r="E211" s="2"/>
      <c r="F211" s="3"/>
      <c r="G211" s="4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spans="1:22" ht="12" customHeight="1">
      <c r="A212" s="2"/>
      <c r="B212" s="2"/>
      <c r="C212" s="2"/>
      <c r="D212" s="2"/>
      <c r="E212" s="2"/>
      <c r="F212" s="3"/>
      <c r="G212" s="4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spans="1:22" ht="12" customHeight="1">
      <c r="A213" s="2"/>
      <c r="B213" s="2"/>
      <c r="C213" s="2"/>
      <c r="D213" s="2"/>
      <c r="E213" s="2"/>
      <c r="F213" s="3"/>
      <c r="G213" s="4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spans="1:22" ht="12" customHeight="1">
      <c r="A214" s="2"/>
      <c r="B214" s="2"/>
      <c r="C214" s="2"/>
      <c r="D214" s="2"/>
      <c r="E214" s="2"/>
      <c r="F214" s="3"/>
      <c r="G214" s="4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spans="1:22" ht="12" customHeight="1">
      <c r="A215" s="2"/>
      <c r="B215" s="2"/>
      <c r="C215" s="2"/>
      <c r="D215" s="2"/>
      <c r="E215" s="2"/>
      <c r="F215" s="3"/>
      <c r="G215" s="4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spans="1:22" ht="12" customHeight="1">
      <c r="A216" s="2"/>
      <c r="B216" s="2"/>
      <c r="C216" s="2"/>
      <c r="D216" s="2"/>
      <c r="E216" s="2"/>
      <c r="F216" s="3"/>
      <c r="G216" s="4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spans="1:22" ht="12" customHeight="1">
      <c r="A217" s="2"/>
      <c r="B217" s="2"/>
      <c r="C217" s="2"/>
      <c r="D217" s="2"/>
      <c r="E217" s="2"/>
      <c r="F217" s="3"/>
      <c r="G217" s="4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spans="1:22" ht="12" customHeight="1">
      <c r="A218" s="2"/>
      <c r="B218" s="2"/>
      <c r="C218" s="2"/>
      <c r="D218" s="2"/>
      <c r="E218" s="2"/>
      <c r="F218" s="3"/>
      <c r="G218" s="4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spans="1:22" ht="12" customHeight="1">
      <c r="A219" s="2"/>
      <c r="B219" s="2"/>
      <c r="C219" s="2"/>
      <c r="D219" s="2"/>
      <c r="E219" s="2"/>
      <c r="F219" s="3"/>
      <c r="G219" s="4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spans="1:22" ht="12" customHeight="1">
      <c r="A220" s="2"/>
      <c r="B220" s="2"/>
      <c r="C220" s="2"/>
      <c r="D220" s="2"/>
      <c r="E220" s="2"/>
      <c r="F220" s="3"/>
      <c r="G220" s="4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spans="1:22" ht="12" customHeight="1">
      <c r="A221" s="2"/>
      <c r="B221" s="2"/>
      <c r="C221" s="2"/>
      <c r="D221" s="2"/>
      <c r="E221" s="2"/>
      <c r="F221" s="3"/>
      <c r="G221" s="4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spans="1:22" ht="12" customHeight="1">
      <c r="A222" s="2"/>
      <c r="B222" s="2"/>
      <c r="C222" s="2"/>
      <c r="D222" s="2"/>
      <c r="E222" s="2"/>
      <c r="F222" s="3"/>
      <c r="G222" s="4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spans="1:22" ht="12" customHeight="1">
      <c r="A223" s="2"/>
      <c r="B223" s="2"/>
      <c r="C223" s="2"/>
      <c r="D223" s="2"/>
      <c r="E223" s="2"/>
      <c r="F223" s="3"/>
      <c r="G223" s="4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spans="1:22" ht="12" customHeight="1">
      <c r="A224" s="2"/>
      <c r="B224" s="2"/>
      <c r="C224" s="2"/>
      <c r="D224" s="2"/>
      <c r="E224" s="2"/>
      <c r="F224" s="3"/>
      <c r="G224" s="4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spans="1:22" ht="12" customHeight="1">
      <c r="A225" s="2"/>
      <c r="B225" s="2"/>
      <c r="C225" s="2"/>
      <c r="D225" s="2"/>
      <c r="E225" s="2"/>
      <c r="F225" s="3"/>
      <c r="G225" s="4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spans="1:22" ht="12" customHeight="1">
      <c r="A226" s="2"/>
      <c r="B226" s="2"/>
      <c r="C226" s="2"/>
      <c r="D226" s="2"/>
      <c r="E226" s="2"/>
      <c r="F226" s="3"/>
      <c r="G226" s="4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spans="1:22" ht="12" customHeight="1">
      <c r="A227" s="2"/>
      <c r="B227" s="2"/>
      <c r="C227" s="2"/>
      <c r="D227" s="2"/>
      <c r="E227" s="2"/>
      <c r="F227" s="3"/>
      <c r="G227" s="4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spans="1:22" ht="12" customHeight="1">
      <c r="A228" s="2"/>
      <c r="B228" s="2"/>
      <c r="C228" s="2"/>
      <c r="D228" s="2"/>
      <c r="E228" s="2"/>
      <c r="F228" s="3"/>
      <c r="G228" s="4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spans="1:22" ht="12" customHeight="1">
      <c r="A229" s="2"/>
      <c r="B229" s="2"/>
      <c r="C229" s="2"/>
      <c r="D229" s="2"/>
      <c r="E229" s="2"/>
      <c r="F229" s="3"/>
      <c r="G229" s="4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spans="1:22" ht="12" customHeight="1">
      <c r="A230" s="2"/>
      <c r="B230" s="2"/>
      <c r="C230" s="2"/>
      <c r="D230" s="2"/>
      <c r="E230" s="2"/>
      <c r="F230" s="3"/>
      <c r="G230" s="4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spans="1:22" ht="12" customHeight="1">
      <c r="A231" s="2"/>
      <c r="B231" s="2"/>
      <c r="C231" s="2"/>
      <c r="D231" s="2"/>
      <c r="E231" s="2"/>
      <c r="F231" s="3"/>
      <c r="G231" s="4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spans="1:22" ht="12" customHeight="1">
      <c r="A232" s="2"/>
      <c r="B232" s="2"/>
      <c r="C232" s="2"/>
      <c r="D232" s="2"/>
      <c r="E232" s="2"/>
      <c r="F232" s="3"/>
      <c r="G232" s="4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spans="1:22" ht="12" customHeight="1">
      <c r="A233" s="2"/>
      <c r="B233" s="2"/>
      <c r="C233" s="2"/>
      <c r="D233" s="2"/>
      <c r="E233" s="2"/>
      <c r="F233" s="3"/>
      <c r="G233" s="4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spans="1:22" ht="12" customHeight="1">
      <c r="A234" s="2"/>
      <c r="B234" s="2"/>
      <c r="C234" s="2"/>
      <c r="D234" s="2"/>
      <c r="E234" s="2"/>
      <c r="F234" s="3"/>
      <c r="G234" s="4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spans="1:22" ht="12" customHeight="1">
      <c r="A235" s="2"/>
      <c r="B235" s="2"/>
      <c r="C235" s="2"/>
      <c r="D235" s="2"/>
      <c r="E235" s="2"/>
      <c r="F235" s="3"/>
      <c r="G235" s="4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spans="1:22" ht="12" customHeight="1">
      <c r="A236" s="2"/>
      <c r="B236" s="2"/>
      <c r="C236" s="2"/>
      <c r="D236" s="2"/>
      <c r="E236" s="2"/>
      <c r="F236" s="3"/>
      <c r="G236" s="4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spans="1:22" ht="12" customHeight="1">
      <c r="A237" s="2"/>
      <c r="B237" s="2"/>
      <c r="C237" s="2"/>
      <c r="D237" s="2"/>
      <c r="E237" s="2"/>
      <c r="F237" s="3"/>
      <c r="G237" s="4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spans="1:22" ht="12" customHeight="1">
      <c r="A238" s="2"/>
      <c r="B238" s="2"/>
      <c r="C238" s="2"/>
      <c r="D238" s="2"/>
      <c r="E238" s="2"/>
      <c r="F238" s="3"/>
      <c r="G238" s="4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spans="1:22" ht="12" customHeight="1">
      <c r="A239" s="2"/>
      <c r="B239" s="2"/>
      <c r="C239" s="2"/>
      <c r="D239" s="2"/>
      <c r="E239" s="2"/>
      <c r="F239" s="3"/>
      <c r="G239" s="4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spans="1:22" ht="12" customHeight="1">
      <c r="A240" s="2"/>
      <c r="B240" s="2"/>
      <c r="C240" s="2"/>
      <c r="D240" s="2"/>
      <c r="E240" s="2"/>
      <c r="F240" s="3"/>
      <c r="G240" s="4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spans="1:22" ht="12" customHeight="1">
      <c r="A241" s="2"/>
      <c r="B241" s="2"/>
      <c r="C241" s="2"/>
      <c r="D241" s="2"/>
      <c r="E241" s="2"/>
      <c r="F241" s="3"/>
      <c r="G241" s="4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spans="1:22" ht="12" customHeight="1">
      <c r="A242" s="2"/>
      <c r="B242" s="2"/>
      <c r="C242" s="2"/>
      <c r="D242" s="2"/>
      <c r="E242" s="2"/>
      <c r="F242" s="3"/>
      <c r="G242" s="4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spans="1:22" ht="12" customHeight="1">
      <c r="A243" s="2"/>
      <c r="B243" s="2"/>
      <c r="C243" s="2"/>
      <c r="D243" s="2"/>
      <c r="E243" s="2"/>
      <c r="F243" s="3"/>
      <c r="G243" s="4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spans="1:22" ht="12" customHeight="1">
      <c r="A244" s="2"/>
      <c r="B244" s="2"/>
      <c r="C244" s="2"/>
      <c r="D244" s="2"/>
      <c r="E244" s="2"/>
      <c r="F244" s="3"/>
      <c r="G244" s="4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spans="1:22" ht="12" customHeight="1">
      <c r="A245" s="2"/>
      <c r="B245" s="2"/>
      <c r="C245" s="2"/>
      <c r="D245" s="2"/>
      <c r="E245" s="2"/>
      <c r="F245" s="3"/>
      <c r="G245" s="4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spans="1:22" ht="12" customHeight="1">
      <c r="A246" s="2"/>
      <c r="B246" s="2"/>
      <c r="C246" s="2"/>
      <c r="D246" s="2"/>
      <c r="E246" s="2"/>
      <c r="F246" s="3"/>
      <c r="G246" s="4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spans="1:22" ht="12" customHeight="1">
      <c r="A247" s="2"/>
      <c r="B247" s="2"/>
      <c r="C247" s="2"/>
      <c r="D247" s="2"/>
      <c r="E247" s="2"/>
      <c r="F247" s="3"/>
      <c r="G247" s="4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spans="1:22" ht="12" customHeight="1">
      <c r="A248" s="2"/>
      <c r="B248" s="2"/>
      <c r="C248" s="2"/>
      <c r="D248" s="2"/>
      <c r="E248" s="2"/>
      <c r="F248" s="3"/>
      <c r="G248" s="4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spans="1:22" ht="12" customHeight="1">
      <c r="A249" s="2"/>
      <c r="B249" s="2"/>
      <c r="C249" s="2"/>
      <c r="D249" s="2"/>
      <c r="E249" s="2"/>
      <c r="F249" s="3"/>
      <c r="G249" s="4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spans="1:22" ht="12" customHeight="1">
      <c r="A250" s="2"/>
      <c r="B250" s="2"/>
      <c r="C250" s="2"/>
      <c r="D250" s="2"/>
      <c r="E250" s="2"/>
      <c r="F250" s="3"/>
      <c r="G250" s="4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spans="1:22" ht="12" customHeight="1">
      <c r="A251" s="2"/>
      <c r="B251" s="2"/>
      <c r="C251" s="2"/>
      <c r="D251" s="2"/>
      <c r="E251" s="2"/>
      <c r="F251" s="3"/>
      <c r="G251" s="4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spans="1:22" ht="12" customHeight="1">
      <c r="A252" s="2"/>
      <c r="B252" s="2"/>
      <c r="C252" s="2"/>
      <c r="D252" s="2"/>
      <c r="E252" s="2"/>
      <c r="F252" s="3"/>
      <c r="G252" s="4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spans="1:22" ht="12" customHeight="1">
      <c r="A253" s="2"/>
      <c r="B253" s="2"/>
      <c r="C253" s="2"/>
      <c r="D253" s="2"/>
      <c r="E253" s="2"/>
      <c r="F253" s="3"/>
      <c r="G253" s="4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spans="1:22" ht="12" customHeight="1">
      <c r="A254" s="2"/>
      <c r="B254" s="2"/>
      <c r="C254" s="2"/>
      <c r="D254" s="2"/>
      <c r="E254" s="2"/>
      <c r="F254" s="3"/>
      <c r="G254" s="4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spans="1:22" ht="12" customHeight="1">
      <c r="A255" s="2"/>
      <c r="B255" s="2"/>
      <c r="C255" s="2"/>
      <c r="D255" s="2"/>
      <c r="E255" s="2"/>
      <c r="F255" s="3"/>
      <c r="G255" s="4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spans="1:22" ht="12" customHeight="1">
      <c r="A256" s="2"/>
      <c r="B256" s="2"/>
      <c r="C256" s="2"/>
      <c r="D256" s="2"/>
      <c r="E256" s="2"/>
      <c r="F256" s="3"/>
      <c r="G256" s="4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spans="1:22" ht="12" customHeight="1">
      <c r="A257" s="2"/>
      <c r="B257" s="2"/>
      <c r="C257" s="2"/>
      <c r="D257" s="2"/>
      <c r="E257" s="2"/>
      <c r="F257" s="3"/>
      <c r="G257" s="4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spans="1:22" ht="12" customHeight="1">
      <c r="A258" s="2"/>
      <c r="B258" s="2"/>
      <c r="C258" s="2"/>
      <c r="D258" s="2"/>
      <c r="E258" s="2"/>
      <c r="F258" s="3"/>
      <c r="G258" s="4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spans="1:22" ht="12" customHeight="1">
      <c r="A259" s="2"/>
      <c r="B259" s="2"/>
      <c r="C259" s="2"/>
      <c r="D259" s="2"/>
      <c r="E259" s="2"/>
      <c r="F259" s="3"/>
      <c r="G259" s="4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spans="1:22" ht="12" customHeight="1">
      <c r="A260" s="2"/>
      <c r="B260" s="2"/>
      <c r="C260" s="2"/>
      <c r="D260" s="2"/>
      <c r="E260" s="2"/>
      <c r="F260" s="3"/>
      <c r="G260" s="4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spans="1:22" ht="12" customHeight="1">
      <c r="A261" s="2"/>
      <c r="B261" s="2"/>
      <c r="C261" s="2"/>
      <c r="D261" s="2"/>
      <c r="E261" s="2"/>
      <c r="F261" s="3"/>
      <c r="G261" s="4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spans="1:22" ht="12" customHeight="1">
      <c r="A262" s="2"/>
      <c r="B262" s="2"/>
      <c r="C262" s="2"/>
      <c r="D262" s="2"/>
      <c r="E262" s="2"/>
      <c r="F262" s="3"/>
      <c r="G262" s="4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spans="1:22" ht="12" customHeight="1">
      <c r="A263" s="2"/>
      <c r="B263" s="2"/>
      <c r="C263" s="2"/>
      <c r="D263" s="2"/>
      <c r="E263" s="2"/>
      <c r="F263" s="3"/>
      <c r="G263" s="4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spans="1:22" ht="12" customHeight="1">
      <c r="A264" s="2"/>
      <c r="B264" s="2"/>
      <c r="C264" s="2"/>
      <c r="D264" s="2"/>
      <c r="E264" s="2"/>
      <c r="F264" s="3"/>
      <c r="G264" s="4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spans="1:22" ht="12" customHeight="1">
      <c r="A265" s="2"/>
      <c r="B265" s="2"/>
      <c r="C265" s="2"/>
      <c r="D265" s="2"/>
      <c r="E265" s="2"/>
      <c r="F265" s="3"/>
      <c r="G265" s="4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spans="1:22" ht="12" customHeight="1">
      <c r="A266" s="2"/>
      <c r="B266" s="2"/>
      <c r="C266" s="2"/>
      <c r="D266" s="2"/>
      <c r="E266" s="2"/>
      <c r="F266" s="3"/>
      <c r="G266" s="4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spans="1:22" ht="12" customHeight="1">
      <c r="A267" s="2"/>
      <c r="B267" s="2"/>
      <c r="C267" s="2"/>
      <c r="D267" s="2"/>
      <c r="E267" s="2"/>
      <c r="F267" s="3"/>
      <c r="G267" s="4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spans="1:22" ht="12" customHeight="1">
      <c r="A268" s="2"/>
      <c r="B268" s="2"/>
      <c r="C268" s="2"/>
      <c r="D268" s="2"/>
      <c r="E268" s="2"/>
      <c r="F268" s="3"/>
      <c r="G268" s="4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spans="1:22" ht="12" customHeight="1">
      <c r="A269" s="2"/>
      <c r="B269" s="2"/>
      <c r="C269" s="2"/>
      <c r="D269" s="2"/>
      <c r="E269" s="2"/>
      <c r="F269" s="3"/>
      <c r="G269" s="4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spans="1:22" ht="12" customHeight="1">
      <c r="A270" s="2"/>
      <c r="B270" s="2"/>
      <c r="C270" s="2"/>
      <c r="D270" s="2"/>
      <c r="E270" s="2"/>
      <c r="F270" s="3"/>
      <c r="G270" s="4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spans="1:22" ht="12" customHeight="1">
      <c r="A271" s="2"/>
      <c r="B271" s="2"/>
      <c r="C271" s="2"/>
      <c r="D271" s="2"/>
      <c r="E271" s="2"/>
      <c r="F271" s="3"/>
      <c r="G271" s="4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spans="1:22" ht="12" customHeight="1">
      <c r="A272" s="2"/>
      <c r="B272" s="2"/>
      <c r="C272" s="2"/>
      <c r="D272" s="2"/>
      <c r="E272" s="2"/>
      <c r="F272" s="3"/>
      <c r="G272" s="4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spans="1:22" ht="12" customHeight="1">
      <c r="A273" s="2"/>
      <c r="B273" s="2"/>
      <c r="C273" s="2"/>
      <c r="D273" s="2"/>
      <c r="E273" s="2"/>
      <c r="F273" s="3"/>
      <c r="G273" s="4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spans="1:22" ht="12" customHeight="1">
      <c r="A274" s="2"/>
      <c r="B274" s="2"/>
      <c r="C274" s="2"/>
      <c r="D274" s="2"/>
      <c r="E274" s="2"/>
      <c r="F274" s="3"/>
      <c r="G274" s="4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spans="1:22" ht="12" customHeight="1">
      <c r="A275" s="2"/>
      <c r="B275" s="2"/>
      <c r="C275" s="2"/>
      <c r="D275" s="2"/>
      <c r="E275" s="2"/>
      <c r="F275" s="3"/>
      <c r="G275" s="4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spans="1:22" ht="12" customHeight="1">
      <c r="A276" s="2"/>
      <c r="B276" s="2"/>
      <c r="C276" s="2"/>
      <c r="D276" s="2"/>
      <c r="E276" s="2"/>
      <c r="F276" s="3"/>
      <c r="G276" s="4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spans="1:22" ht="12" customHeight="1">
      <c r="A277" s="2"/>
      <c r="B277" s="2"/>
      <c r="C277" s="2"/>
      <c r="D277" s="2"/>
      <c r="E277" s="2"/>
      <c r="F277" s="3"/>
      <c r="G277" s="4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spans="1:22" ht="12" customHeight="1">
      <c r="A278" s="2"/>
      <c r="B278" s="2"/>
      <c r="C278" s="2"/>
      <c r="D278" s="2"/>
      <c r="E278" s="2"/>
      <c r="F278" s="3"/>
      <c r="G278" s="4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spans="1:22" ht="12" customHeight="1">
      <c r="A279" s="2"/>
      <c r="B279" s="2"/>
      <c r="C279" s="2"/>
      <c r="D279" s="2"/>
      <c r="E279" s="2"/>
      <c r="F279" s="3"/>
      <c r="G279" s="4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spans="1:22" ht="12" customHeight="1">
      <c r="A280" s="2"/>
      <c r="B280" s="2"/>
      <c r="C280" s="2"/>
      <c r="D280" s="2"/>
      <c r="E280" s="2"/>
      <c r="F280" s="3"/>
      <c r="G280" s="4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spans="1:22" ht="12" customHeight="1">
      <c r="A281" s="2"/>
      <c r="B281" s="2"/>
      <c r="C281" s="2"/>
      <c r="D281" s="2"/>
      <c r="E281" s="2"/>
      <c r="F281" s="3"/>
      <c r="G281" s="4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spans="1:22" ht="12" customHeight="1">
      <c r="A282" s="2"/>
      <c r="B282" s="2"/>
      <c r="C282" s="2"/>
      <c r="D282" s="2"/>
      <c r="E282" s="2"/>
      <c r="F282" s="3"/>
      <c r="G282" s="4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spans="1:22" ht="12" customHeight="1">
      <c r="A283" s="2"/>
      <c r="B283" s="2"/>
      <c r="C283" s="2"/>
      <c r="D283" s="2"/>
      <c r="E283" s="2"/>
      <c r="F283" s="3"/>
      <c r="G283" s="4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spans="1:22" ht="12" customHeight="1">
      <c r="A284" s="2"/>
      <c r="B284" s="2"/>
      <c r="C284" s="2"/>
      <c r="D284" s="2"/>
      <c r="E284" s="2"/>
      <c r="F284" s="3"/>
      <c r="G284" s="4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spans="1:22" ht="12" customHeight="1">
      <c r="A285" s="2"/>
      <c r="B285" s="2"/>
      <c r="C285" s="2"/>
      <c r="D285" s="2"/>
      <c r="E285" s="2"/>
      <c r="F285" s="3"/>
      <c r="G285" s="4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spans="1:22" ht="12" customHeight="1">
      <c r="A286" s="2"/>
      <c r="B286" s="2"/>
      <c r="C286" s="2"/>
      <c r="D286" s="2"/>
      <c r="E286" s="2"/>
      <c r="F286" s="3"/>
      <c r="G286" s="4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spans="1:22" ht="12" customHeight="1">
      <c r="A287" s="2"/>
      <c r="B287" s="2"/>
      <c r="C287" s="2"/>
      <c r="D287" s="2"/>
      <c r="E287" s="2"/>
      <c r="F287" s="3"/>
      <c r="G287" s="4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spans="1:22" ht="12" customHeight="1">
      <c r="A288" s="2"/>
      <c r="B288" s="2"/>
      <c r="C288" s="2"/>
      <c r="D288" s="2"/>
      <c r="E288" s="2"/>
      <c r="F288" s="3"/>
      <c r="G288" s="4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spans="1:22" ht="12" customHeight="1">
      <c r="A289" s="2"/>
      <c r="B289" s="2"/>
      <c r="C289" s="2"/>
      <c r="D289" s="2"/>
      <c r="E289" s="2"/>
      <c r="F289" s="3"/>
      <c r="G289" s="4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spans="1:22" ht="12" customHeight="1">
      <c r="A290" s="2"/>
      <c r="B290" s="2"/>
      <c r="C290" s="2"/>
      <c r="D290" s="2"/>
      <c r="E290" s="2"/>
      <c r="F290" s="3"/>
      <c r="G290" s="4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spans="1:22" ht="12" customHeight="1">
      <c r="A291" s="2"/>
      <c r="B291" s="2"/>
      <c r="C291" s="2"/>
      <c r="D291" s="2"/>
      <c r="E291" s="2"/>
      <c r="F291" s="3"/>
      <c r="G291" s="4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spans="1:22" ht="12" customHeight="1">
      <c r="A292" s="2"/>
      <c r="B292" s="2"/>
      <c r="C292" s="2"/>
      <c r="D292" s="2"/>
      <c r="E292" s="2"/>
      <c r="F292" s="3"/>
      <c r="G292" s="4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spans="1:22" ht="12" customHeight="1">
      <c r="A293" s="2"/>
      <c r="B293" s="2"/>
      <c r="C293" s="2"/>
      <c r="D293" s="2"/>
      <c r="E293" s="2"/>
      <c r="F293" s="3"/>
      <c r="G293" s="4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spans="1:22" ht="12" customHeight="1">
      <c r="A294" s="2"/>
      <c r="B294" s="2"/>
      <c r="C294" s="2"/>
      <c r="D294" s="2"/>
      <c r="E294" s="2"/>
      <c r="F294" s="3"/>
      <c r="G294" s="4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spans="1:22" ht="12" customHeight="1">
      <c r="A295" s="2"/>
      <c r="B295" s="2"/>
      <c r="C295" s="2"/>
      <c r="D295" s="2"/>
      <c r="E295" s="2"/>
      <c r="F295" s="3"/>
      <c r="G295" s="4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spans="1:22" ht="12" customHeight="1">
      <c r="A296" s="2"/>
      <c r="B296" s="2"/>
      <c r="C296" s="2"/>
      <c r="D296" s="2"/>
      <c r="E296" s="2"/>
      <c r="F296" s="3"/>
      <c r="G296" s="4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spans="1:22" ht="12" customHeight="1">
      <c r="A297" s="2"/>
      <c r="B297" s="2"/>
      <c r="C297" s="2"/>
      <c r="D297" s="2"/>
      <c r="E297" s="2"/>
      <c r="F297" s="3"/>
      <c r="G297" s="4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spans="1:22" ht="12" customHeight="1">
      <c r="A298" s="2"/>
      <c r="B298" s="2"/>
      <c r="C298" s="2"/>
      <c r="D298" s="2"/>
      <c r="E298" s="2"/>
      <c r="F298" s="3"/>
      <c r="G298" s="4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spans="1:22" ht="12" customHeight="1">
      <c r="A299" s="2"/>
      <c r="B299" s="2"/>
      <c r="C299" s="2"/>
      <c r="D299" s="2"/>
      <c r="E299" s="2"/>
      <c r="F299" s="3"/>
      <c r="G299" s="4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spans="1:22" ht="12" customHeight="1">
      <c r="A300" s="2"/>
      <c r="B300" s="2"/>
      <c r="C300" s="2"/>
      <c r="D300" s="2"/>
      <c r="E300" s="2"/>
      <c r="F300" s="3"/>
      <c r="G300" s="4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spans="1:22" ht="12" customHeight="1">
      <c r="A301" s="2"/>
      <c r="B301" s="2"/>
      <c r="C301" s="2"/>
      <c r="D301" s="2"/>
      <c r="E301" s="2"/>
      <c r="F301" s="3"/>
      <c r="G301" s="4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</sheetData>
  <conditionalFormatting sqref="Z2:Z31">
    <cfRule type="expression" dxfId="26" priority="1">
      <formula>Z2="Pilot - verified subset"</formula>
    </cfRule>
  </conditionalFormatting>
  <conditionalFormatting sqref="Z32:Z151">
    <cfRule type="expression" dxfId="25" priority="2">
      <formula>Z32="Expanded - verified CATS subset"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/>
  </sheetViews>
  <sheetFormatPr defaultRowHeight="14"/>
  <cols>
    <col min="1" max="2" width="28" customWidth="1"/>
    <col min="3" max="3" width="60" customWidth="1"/>
  </cols>
  <sheetData>
    <row r="1" spans="1:3" ht="18.649999999999999" customHeight="1">
      <c r="A1" s="1" t="s">
        <v>192</v>
      </c>
      <c r="B1" s="1" t="s">
        <v>193</v>
      </c>
      <c r="C1" s="1" t="s">
        <v>194</v>
      </c>
    </row>
    <row r="2" spans="1:3">
      <c r="A2" s="6" t="s">
        <v>0</v>
      </c>
      <c r="B2" s="6" t="s">
        <v>195</v>
      </c>
      <c r="C2" s="6" t="s">
        <v>196</v>
      </c>
    </row>
    <row r="3" spans="1:3">
      <c r="A3" s="6" t="s">
        <v>1</v>
      </c>
      <c r="B3" s="6" t="s">
        <v>197</v>
      </c>
      <c r="C3" s="6" t="s">
        <v>198</v>
      </c>
    </row>
    <row r="4" spans="1:3">
      <c r="A4" s="6" t="s">
        <v>2</v>
      </c>
      <c r="B4" s="6" t="s">
        <v>199</v>
      </c>
      <c r="C4" s="6" t="s">
        <v>200</v>
      </c>
    </row>
    <row r="5" spans="1:3">
      <c r="A5" s="6" t="s">
        <v>3</v>
      </c>
      <c r="B5" s="6" t="s">
        <v>199</v>
      </c>
      <c r="C5" s="6" t="s">
        <v>201</v>
      </c>
    </row>
    <row r="6" spans="1:3">
      <c r="A6" s="6" t="s">
        <v>4</v>
      </c>
      <c r="B6" s="6" t="s">
        <v>202</v>
      </c>
      <c r="C6" s="6" t="s">
        <v>203</v>
      </c>
    </row>
    <row r="7" spans="1:3">
      <c r="A7" s="6" t="s">
        <v>5</v>
      </c>
      <c r="B7" s="6" t="s">
        <v>204</v>
      </c>
      <c r="C7" s="6" t="s">
        <v>205</v>
      </c>
    </row>
    <row r="8" spans="1:3" ht="28">
      <c r="A8" s="6" t="s">
        <v>6</v>
      </c>
      <c r="B8" s="6" t="s">
        <v>206</v>
      </c>
      <c r="C8" s="6" t="s">
        <v>207</v>
      </c>
    </row>
    <row r="9" spans="1:3">
      <c r="A9" s="6" t="s">
        <v>7</v>
      </c>
      <c r="B9" s="6" t="s">
        <v>208</v>
      </c>
      <c r="C9" s="6" t="s">
        <v>209</v>
      </c>
    </row>
    <row r="10" spans="1:3">
      <c r="A10" s="6" t="s">
        <v>8</v>
      </c>
      <c r="B10" s="6" t="s">
        <v>210</v>
      </c>
      <c r="C10" s="6" t="s">
        <v>211</v>
      </c>
    </row>
    <row r="11" spans="1:3">
      <c r="A11" s="6" t="s">
        <v>9</v>
      </c>
      <c r="B11" s="6" t="s">
        <v>212</v>
      </c>
      <c r="C11" s="6" t="s">
        <v>213</v>
      </c>
    </row>
    <row r="12" spans="1:3">
      <c r="A12" s="6" t="s">
        <v>10</v>
      </c>
      <c r="B12" s="6" t="s">
        <v>214</v>
      </c>
      <c r="C12" s="6" t="s">
        <v>215</v>
      </c>
    </row>
    <row r="13" spans="1:3">
      <c r="A13" s="6" t="s">
        <v>11</v>
      </c>
      <c r="B13" s="6" t="s">
        <v>216</v>
      </c>
      <c r="C13" s="6" t="s">
        <v>217</v>
      </c>
    </row>
    <row r="14" spans="1:3">
      <c r="A14" s="6" t="s">
        <v>12</v>
      </c>
      <c r="B14" s="6" t="s">
        <v>218</v>
      </c>
      <c r="C14" s="6" t="s">
        <v>219</v>
      </c>
    </row>
    <row r="15" spans="1:3">
      <c r="A15" s="6" t="s">
        <v>13</v>
      </c>
      <c r="B15" s="6" t="s">
        <v>220</v>
      </c>
      <c r="C15" s="6" t="s">
        <v>221</v>
      </c>
    </row>
    <row r="16" spans="1:3">
      <c r="A16" s="6" t="s">
        <v>14</v>
      </c>
      <c r="B16" s="6" t="s">
        <v>222</v>
      </c>
      <c r="C16" s="6" t="s">
        <v>223</v>
      </c>
    </row>
    <row r="17" spans="1:3">
      <c r="A17" s="6" t="s">
        <v>15</v>
      </c>
      <c r="B17" s="6" t="s">
        <v>224</v>
      </c>
      <c r="C17" s="6" t="s">
        <v>225</v>
      </c>
    </row>
    <row r="18" spans="1:3">
      <c r="A18" s="6" t="s">
        <v>16</v>
      </c>
      <c r="B18" s="6" t="s">
        <v>226</v>
      </c>
      <c r="C18" s="6" t="s">
        <v>227</v>
      </c>
    </row>
    <row r="19" spans="1:3">
      <c r="A19" s="6" t="s">
        <v>17</v>
      </c>
      <c r="B19" s="6" t="s">
        <v>228</v>
      </c>
      <c r="C19" s="6" t="s">
        <v>229</v>
      </c>
    </row>
    <row r="20" spans="1:3">
      <c r="A20" s="6" t="s">
        <v>18</v>
      </c>
      <c r="B20" s="6" t="s">
        <v>230</v>
      </c>
      <c r="C20" s="6" t="s">
        <v>231</v>
      </c>
    </row>
    <row r="21" spans="1:3">
      <c r="A21" s="6" t="s">
        <v>19</v>
      </c>
      <c r="B21" s="6" t="s">
        <v>232</v>
      </c>
      <c r="C21" s="6" t="s">
        <v>233</v>
      </c>
    </row>
    <row r="22" spans="1:3">
      <c r="A22" s="6" t="s">
        <v>20</v>
      </c>
      <c r="B22" s="6" t="s">
        <v>234</v>
      </c>
      <c r="C22" s="6" t="s">
        <v>235</v>
      </c>
    </row>
    <row r="23" spans="1:3">
      <c r="A23" s="6" t="s">
        <v>21</v>
      </c>
      <c r="B23" s="6" t="s">
        <v>236</v>
      </c>
      <c r="C23" s="6" t="s">
        <v>237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5"/>
  <sheetViews>
    <sheetView workbookViewId="0"/>
  </sheetViews>
  <sheetFormatPr defaultRowHeight="14"/>
  <cols>
    <col min="1" max="1" width="24" customWidth="1"/>
    <col min="2" max="2" width="18" customWidth="1"/>
    <col min="3" max="3" width="30" customWidth="1"/>
    <col min="4" max="4" width="42" customWidth="1"/>
  </cols>
  <sheetData>
    <row r="1" spans="1:4" ht="20" customHeight="1">
      <c r="A1" s="46" t="s">
        <v>238</v>
      </c>
      <c r="B1" s="46"/>
      <c r="C1" s="46"/>
      <c r="D1" s="46"/>
    </row>
    <row r="3" spans="1:4">
      <c r="A3" s="1" t="s">
        <v>239</v>
      </c>
      <c r="B3" s="1" t="s">
        <v>240</v>
      </c>
      <c r="C3" s="1" t="s">
        <v>241</v>
      </c>
      <c r="D3" s="1" t="s">
        <v>242</v>
      </c>
    </row>
    <row r="4" spans="1:4">
      <c r="A4" s="6" t="s">
        <v>243</v>
      </c>
      <c r="B4" s="6" t="s">
        <v>244</v>
      </c>
      <c r="C4" s="6" t="s">
        <v>245</v>
      </c>
      <c r="D4" s="6"/>
    </row>
    <row r="5" spans="1:4" ht="28">
      <c r="A5" s="6" t="s">
        <v>246</v>
      </c>
      <c r="B5" s="6" t="s">
        <v>247</v>
      </c>
      <c r="C5" s="6" t="s">
        <v>248</v>
      </c>
      <c r="D5" s="6"/>
    </row>
    <row r="6" spans="1:4">
      <c r="A6" s="6" t="s">
        <v>249</v>
      </c>
      <c r="B6" s="6" t="s">
        <v>250</v>
      </c>
      <c r="C6" s="6" t="s">
        <v>251</v>
      </c>
      <c r="D6" s="6" t="s">
        <v>252</v>
      </c>
    </row>
    <row r="7" spans="1:4" ht="42">
      <c r="A7" s="6" t="s">
        <v>253</v>
      </c>
      <c r="B7" s="6" t="s">
        <v>254</v>
      </c>
      <c r="C7" s="6" t="s">
        <v>255</v>
      </c>
      <c r="D7" s="6"/>
    </row>
    <row r="8" spans="1:4" ht="70">
      <c r="A8" s="6" t="s">
        <v>256</v>
      </c>
      <c r="B8" s="6" t="s">
        <v>257</v>
      </c>
      <c r="C8" s="6" t="s">
        <v>258</v>
      </c>
      <c r="D8" s="6"/>
    </row>
    <row r="10" spans="1:4">
      <c r="A10" s="7" t="s">
        <v>259</v>
      </c>
      <c r="B10" s="7" t="s">
        <v>240</v>
      </c>
      <c r="C10" s="7" t="s">
        <v>260</v>
      </c>
      <c r="D10" s="7" t="s">
        <v>242</v>
      </c>
    </row>
    <row r="11" spans="1:4" ht="42">
      <c r="A11" s="6" t="s">
        <v>261</v>
      </c>
      <c r="B11" s="6">
        <v>31</v>
      </c>
      <c r="C11" s="6" t="s">
        <v>262</v>
      </c>
      <c r="D11" s="6" t="s">
        <v>263</v>
      </c>
    </row>
    <row r="12" spans="1:4" ht="42">
      <c r="A12" s="6" t="s">
        <v>264</v>
      </c>
      <c r="B12" s="6">
        <v>32</v>
      </c>
      <c r="C12" s="6" t="s">
        <v>262</v>
      </c>
      <c r="D12" s="6" t="s">
        <v>263</v>
      </c>
    </row>
    <row r="13" spans="1:4" ht="42">
      <c r="A13" s="6" t="s">
        <v>265</v>
      </c>
      <c r="B13" s="6">
        <v>63</v>
      </c>
      <c r="C13" s="6" t="s">
        <v>266</v>
      </c>
      <c r="D13" s="6" t="s">
        <v>263</v>
      </c>
    </row>
    <row r="15" spans="1:4">
      <c r="A15" s="13" t="s">
        <v>267</v>
      </c>
      <c r="B15" s="13" t="s">
        <v>240</v>
      </c>
      <c r="C15" s="13" t="s">
        <v>268</v>
      </c>
      <c r="D15" s="13" t="s">
        <v>241</v>
      </c>
    </row>
    <row r="16" spans="1:4">
      <c r="A16" s="6" t="s">
        <v>269</v>
      </c>
      <c r="B16" s="6">
        <v>5</v>
      </c>
      <c r="C16" s="6" t="s">
        <v>270</v>
      </c>
      <c r="D16" s="6" t="s">
        <v>271</v>
      </c>
    </row>
    <row r="17" spans="1:4">
      <c r="A17" s="6" t="s">
        <v>272</v>
      </c>
      <c r="B17" s="6">
        <v>30</v>
      </c>
      <c r="C17" s="6" t="s">
        <v>270</v>
      </c>
      <c r="D17" s="6" t="s">
        <v>273</v>
      </c>
    </row>
    <row r="18" spans="1:4" ht="28">
      <c r="A18" s="6" t="s">
        <v>274</v>
      </c>
      <c r="B18" s="6">
        <v>5</v>
      </c>
      <c r="C18" s="6" t="s">
        <v>275</v>
      </c>
      <c r="D18" s="6" t="s">
        <v>276</v>
      </c>
    </row>
    <row r="20" spans="1:4">
      <c r="A20" s="24" t="s">
        <v>277</v>
      </c>
      <c r="B20" s="24" t="s">
        <v>240</v>
      </c>
      <c r="C20" s="24" t="s">
        <v>278</v>
      </c>
      <c r="D20" s="24" t="s">
        <v>241</v>
      </c>
    </row>
    <row r="21" spans="1:4" ht="28">
      <c r="A21" s="6" t="s">
        <v>279</v>
      </c>
      <c r="B21" s="6" t="s">
        <v>280</v>
      </c>
      <c r="C21" s="6" t="s">
        <v>281</v>
      </c>
      <c r="D21" s="6" t="s">
        <v>282</v>
      </c>
    </row>
    <row r="22" spans="1:4" ht="28">
      <c r="A22" s="6" t="s">
        <v>283</v>
      </c>
      <c r="B22" s="6" t="s">
        <v>284</v>
      </c>
      <c r="C22" s="6" t="s">
        <v>285</v>
      </c>
      <c r="D22" s="6" t="s">
        <v>286</v>
      </c>
    </row>
    <row r="23" spans="1:4" ht="28">
      <c r="A23" s="6" t="s">
        <v>287</v>
      </c>
      <c r="B23" s="6" t="s">
        <v>288</v>
      </c>
      <c r="C23" s="6" t="s">
        <v>289</v>
      </c>
      <c r="D23" s="6" t="s">
        <v>290</v>
      </c>
    </row>
    <row r="24" spans="1:4" ht="28">
      <c r="A24" s="6" t="s">
        <v>291</v>
      </c>
      <c r="B24" s="6" t="s">
        <v>288</v>
      </c>
      <c r="C24" s="6" t="s">
        <v>292</v>
      </c>
      <c r="D24" s="6" t="s">
        <v>293</v>
      </c>
    </row>
    <row r="25" spans="1:4" ht="28">
      <c r="A25" s="6" t="s">
        <v>294</v>
      </c>
      <c r="B25" s="6" t="s">
        <v>284</v>
      </c>
      <c r="C25" s="6" t="s">
        <v>295</v>
      </c>
      <c r="D25" s="6" t="s">
        <v>296</v>
      </c>
    </row>
    <row r="27" spans="1:4">
      <c r="A27" s="30" t="s">
        <v>297</v>
      </c>
      <c r="B27" s="30" t="s">
        <v>240</v>
      </c>
      <c r="C27" s="30" t="s">
        <v>268</v>
      </c>
      <c r="D27" s="30" t="s">
        <v>241</v>
      </c>
    </row>
    <row r="28" spans="1:4">
      <c r="A28" s="6" t="s">
        <v>298</v>
      </c>
      <c r="B28" s="6">
        <v>25</v>
      </c>
      <c r="C28" s="6" t="s">
        <v>270</v>
      </c>
      <c r="D28" s="6" t="s">
        <v>299</v>
      </c>
    </row>
    <row r="29" spans="1:4">
      <c r="A29" s="6" t="s">
        <v>300</v>
      </c>
      <c r="B29" s="6">
        <v>150</v>
      </c>
      <c r="C29" s="6" t="s">
        <v>270</v>
      </c>
      <c r="D29" s="6" t="s">
        <v>301</v>
      </c>
    </row>
    <row r="30" spans="1:4" ht="28">
      <c r="A30" s="6" t="s">
        <v>302</v>
      </c>
      <c r="B30" s="6">
        <v>14</v>
      </c>
      <c r="C30" s="6" t="s">
        <v>270</v>
      </c>
      <c r="D30" s="6" t="s">
        <v>303</v>
      </c>
    </row>
    <row r="31" spans="1:4" ht="28">
      <c r="A31" s="6" t="s">
        <v>304</v>
      </c>
      <c r="B31" s="6">
        <v>5</v>
      </c>
      <c r="C31" s="6" t="s">
        <v>275</v>
      </c>
      <c r="D31" s="6" t="s">
        <v>305</v>
      </c>
    </row>
    <row r="32" spans="1:4" ht="28">
      <c r="A32" s="6" t="s">
        <v>306</v>
      </c>
      <c r="B32" s="6">
        <v>38</v>
      </c>
      <c r="C32" s="6" t="s">
        <v>307</v>
      </c>
      <c r="D32" s="6" t="s">
        <v>308</v>
      </c>
    </row>
    <row r="34" spans="1:4">
      <c r="A34" s="32" t="s">
        <v>309</v>
      </c>
      <c r="B34" s="32" t="s">
        <v>240</v>
      </c>
      <c r="C34" s="32" t="s">
        <v>268</v>
      </c>
      <c r="D34" s="32" t="s">
        <v>241</v>
      </c>
    </row>
    <row r="35" spans="1:4">
      <c r="A35" s="6" t="s">
        <v>310</v>
      </c>
      <c r="B35" s="6">
        <v>8</v>
      </c>
      <c r="C35" s="6" t="s">
        <v>270</v>
      </c>
      <c r="D35" s="6" t="s">
        <v>311</v>
      </c>
    </row>
    <row r="36" spans="1:4">
      <c r="A36" s="6" t="s">
        <v>312</v>
      </c>
      <c r="B36" s="6">
        <v>48</v>
      </c>
      <c r="C36" s="6" t="s">
        <v>270</v>
      </c>
      <c r="D36" s="6" t="s">
        <v>313</v>
      </c>
    </row>
    <row r="37" spans="1:4" ht="28">
      <c r="A37" s="6" t="s">
        <v>314</v>
      </c>
      <c r="B37" s="6">
        <v>33</v>
      </c>
      <c r="C37" s="6" t="s">
        <v>270</v>
      </c>
      <c r="D37" s="6" t="s">
        <v>315</v>
      </c>
    </row>
    <row r="38" spans="1:4">
      <c r="A38" s="6" t="s">
        <v>316</v>
      </c>
      <c r="B38" s="6">
        <v>6</v>
      </c>
      <c r="C38" s="6" t="s">
        <v>317</v>
      </c>
      <c r="D38" s="6" t="s">
        <v>318</v>
      </c>
    </row>
    <row r="39" spans="1:4" ht="28">
      <c r="A39" s="6" t="s">
        <v>319</v>
      </c>
      <c r="B39" s="6" t="s">
        <v>320</v>
      </c>
      <c r="C39" s="6" t="s">
        <v>321</v>
      </c>
      <c r="D39" s="6" t="s">
        <v>322</v>
      </c>
    </row>
    <row r="41" spans="1:4">
      <c r="A41" s="35" t="s">
        <v>323</v>
      </c>
      <c r="B41" s="35" t="s">
        <v>240</v>
      </c>
      <c r="C41" s="35" t="s">
        <v>268</v>
      </c>
      <c r="D41" s="35" t="s">
        <v>241</v>
      </c>
    </row>
    <row r="42" spans="1:4">
      <c r="A42" s="6" t="s">
        <v>324</v>
      </c>
      <c r="B42" s="6">
        <v>31</v>
      </c>
      <c r="C42" s="6" t="s">
        <v>321</v>
      </c>
      <c r="D42" s="6" t="s">
        <v>325</v>
      </c>
    </row>
    <row r="43" spans="1:4">
      <c r="A43" s="6" t="s">
        <v>326</v>
      </c>
      <c r="B43" s="6" t="s">
        <v>244</v>
      </c>
      <c r="C43" s="6" t="s">
        <v>321</v>
      </c>
      <c r="D43" s="6" t="s">
        <v>327</v>
      </c>
    </row>
    <row r="44" spans="1:4">
      <c r="A44" s="6" t="s">
        <v>328</v>
      </c>
      <c r="B44" s="6">
        <v>186</v>
      </c>
      <c r="C44" s="6" t="s">
        <v>321</v>
      </c>
      <c r="D44" s="6" t="s">
        <v>329</v>
      </c>
    </row>
    <row r="45" spans="1:4">
      <c r="A45" s="6" t="s">
        <v>330</v>
      </c>
      <c r="B45" s="6">
        <v>2</v>
      </c>
      <c r="C45" s="6" t="s">
        <v>331</v>
      </c>
      <c r="D45" s="6" t="s">
        <v>332</v>
      </c>
    </row>
    <row r="46" spans="1:4">
      <c r="A46" s="6" t="s">
        <v>333</v>
      </c>
      <c r="B46" s="6" t="s">
        <v>334</v>
      </c>
      <c r="C46" s="6" t="s">
        <v>321</v>
      </c>
      <c r="D46" s="6" t="s">
        <v>335</v>
      </c>
    </row>
    <row r="47" spans="1:4" ht="28">
      <c r="A47" s="6" t="s">
        <v>336</v>
      </c>
      <c r="B47" s="6" t="s">
        <v>337</v>
      </c>
      <c r="C47" s="6" t="s">
        <v>321</v>
      </c>
      <c r="D47" s="6" t="s">
        <v>338</v>
      </c>
    </row>
    <row r="49" spans="1:4">
      <c r="A49" s="38" t="s">
        <v>339</v>
      </c>
      <c r="B49" s="38" t="s">
        <v>240</v>
      </c>
      <c r="C49" s="38" t="s">
        <v>268</v>
      </c>
      <c r="D49" s="38" t="s">
        <v>241</v>
      </c>
    </row>
    <row r="50" spans="1:4">
      <c r="A50" s="6" t="s">
        <v>340</v>
      </c>
      <c r="B50" s="6" t="s">
        <v>341</v>
      </c>
      <c r="C50" s="6" t="s">
        <v>270</v>
      </c>
      <c r="D50" s="6" t="s">
        <v>342</v>
      </c>
    </row>
    <row r="51" spans="1:4">
      <c r="A51" s="6" t="s">
        <v>343</v>
      </c>
      <c r="B51" s="6">
        <v>186</v>
      </c>
      <c r="C51" s="6" t="s">
        <v>270</v>
      </c>
      <c r="D51" s="6" t="s">
        <v>244</v>
      </c>
    </row>
    <row r="52" spans="1:4">
      <c r="A52" s="6" t="s">
        <v>344</v>
      </c>
      <c r="B52" s="6">
        <v>0</v>
      </c>
      <c r="C52" s="6" t="s">
        <v>345</v>
      </c>
      <c r="D52" s="6" t="s">
        <v>346</v>
      </c>
    </row>
    <row r="53" spans="1:4" ht="28">
      <c r="A53" s="6" t="s">
        <v>347</v>
      </c>
      <c r="B53" s="6">
        <v>8</v>
      </c>
      <c r="C53" s="6" t="s">
        <v>348</v>
      </c>
      <c r="D53" s="6" t="s">
        <v>349</v>
      </c>
    </row>
    <row r="54" spans="1:4" ht="28">
      <c r="A54" s="6" t="s">
        <v>350</v>
      </c>
      <c r="B54" s="6">
        <v>82</v>
      </c>
      <c r="C54" s="6" t="s">
        <v>351</v>
      </c>
      <c r="D54" s="6" t="s">
        <v>352</v>
      </c>
    </row>
    <row r="55" spans="1:4">
      <c r="A55" s="6" t="s">
        <v>353</v>
      </c>
      <c r="B55" s="6" t="s">
        <v>354</v>
      </c>
      <c r="C55" s="6" t="s">
        <v>275</v>
      </c>
      <c r="D55" s="6" t="s">
        <v>355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4"/>
  <sheetViews>
    <sheetView workbookViewId="0"/>
  </sheetViews>
  <sheetFormatPr defaultRowHeight="14"/>
  <cols>
    <col min="1" max="1" width="13" customWidth="1"/>
    <col min="2" max="2" width="38" customWidth="1"/>
    <col min="3" max="3" width="18" customWidth="1"/>
    <col min="4" max="4" width="9" customWidth="1"/>
    <col min="5" max="5" width="12" customWidth="1"/>
    <col min="6" max="6" width="15" customWidth="1"/>
    <col min="7" max="7" width="22" customWidth="1"/>
    <col min="8" max="9" width="18" customWidth="1"/>
    <col min="10" max="11" width="12" customWidth="1"/>
    <col min="12" max="12" width="42" customWidth="1"/>
  </cols>
  <sheetData>
    <row r="1" spans="1:12" ht="2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356</v>
      </c>
      <c r="G1" s="8" t="s">
        <v>357</v>
      </c>
      <c r="H1" s="8" t="s">
        <v>358</v>
      </c>
      <c r="I1" s="8" t="s">
        <v>359</v>
      </c>
      <c r="J1" s="8" t="s">
        <v>360</v>
      </c>
      <c r="K1" s="8" t="s">
        <v>361</v>
      </c>
      <c r="L1" s="8" t="s">
        <v>24</v>
      </c>
    </row>
    <row r="2" spans="1:12" ht="42">
      <c r="A2" s="6" t="s">
        <v>27</v>
      </c>
      <c r="B2" s="6" t="s">
        <v>28</v>
      </c>
      <c r="C2" s="6" t="s">
        <v>29</v>
      </c>
      <c r="D2" s="6" t="s">
        <v>30</v>
      </c>
      <c r="E2" s="6" t="s">
        <v>31</v>
      </c>
      <c r="F2" s="6" t="s">
        <v>362</v>
      </c>
      <c r="G2" s="6" t="s">
        <v>363</v>
      </c>
      <c r="H2" s="9">
        <v>52511402</v>
      </c>
      <c r="I2" s="9">
        <v>50950068</v>
      </c>
      <c r="J2" s="10">
        <v>3.0599999999999999E-2</v>
      </c>
      <c r="K2" s="11">
        <v>1</v>
      </c>
      <c r="L2" s="6" t="s">
        <v>263</v>
      </c>
    </row>
    <row r="3" spans="1:12" ht="42">
      <c r="A3" s="6" t="s">
        <v>36</v>
      </c>
      <c r="B3" s="6" t="s">
        <v>37</v>
      </c>
      <c r="C3" s="6" t="s">
        <v>38</v>
      </c>
      <c r="D3" s="6" t="s">
        <v>39</v>
      </c>
      <c r="E3" s="6" t="s">
        <v>31</v>
      </c>
      <c r="F3" s="6" t="s">
        <v>364</v>
      </c>
      <c r="G3" s="6" t="s">
        <v>365</v>
      </c>
      <c r="H3" s="9">
        <v>42351316</v>
      </c>
      <c r="I3" s="9">
        <v>39246212</v>
      </c>
      <c r="J3" s="10">
        <v>7.9100000000000004E-2</v>
      </c>
      <c r="K3" s="11">
        <v>2</v>
      </c>
      <c r="L3" s="6" t="s">
        <v>263</v>
      </c>
    </row>
    <row r="4" spans="1:12" ht="42">
      <c r="A4" s="6" t="s">
        <v>57</v>
      </c>
      <c r="B4" s="6" t="s">
        <v>58</v>
      </c>
      <c r="C4" s="6" t="s">
        <v>59</v>
      </c>
      <c r="D4" s="6" t="s">
        <v>60</v>
      </c>
      <c r="E4" s="6" t="s">
        <v>31</v>
      </c>
      <c r="F4" s="6" t="s">
        <v>366</v>
      </c>
      <c r="G4" s="6" t="s">
        <v>367</v>
      </c>
      <c r="H4" s="9">
        <v>40012895</v>
      </c>
      <c r="I4" s="9">
        <v>37863967</v>
      </c>
      <c r="J4" s="10">
        <v>5.6800000000000003E-2</v>
      </c>
      <c r="K4" s="11">
        <v>3</v>
      </c>
      <c r="L4" s="6" t="s">
        <v>263</v>
      </c>
    </row>
    <row r="5" spans="1:12" ht="42">
      <c r="A5" s="6" t="s">
        <v>64</v>
      </c>
      <c r="B5" s="6" t="s">
        <v>65</v>
      </c>
      <c r="C5" s="6" t="s">
        <v>66</v>
      </c>
      <c r="D5" s="6" t="s">
        <v>67</v>
      </c>
      <c r="E5" s="6" t="s">
        <v>31</v>
      </c>
      <c r="F5" s="6" t="s">
        <v>368</v>
      </c>
      <c r="G5" s="6" t="s">
        <v>369</v>
      </c>
      <c r="H5" s="9">
        <v>38575693</v>
      </c>
      <c r="I5" s="9">
        <v>35843104</v>
      </c>
      <c r="J5" s="10">
        <v>7.6200000000000004E-2</v>
      </c>
      <c r="K5" s="11">
        <v>4</v>
      </c>
      <c r="L5" s="6" t="s">
        <v>263</v>
      </c>
    </row>
    <row r="6" spans="1:12" ht="42">
      <c r="A6" s="6" t="s">
        <v>41</v>
      </c>
      <c r="B6" s="6" t="s">
        <v>42</v>
      </c>
      <c r="C6" s="6" t="s">
        <v>43</v>
      </c>
      <c r="D6" s="6" t="s">
        <v>44</v>
      </c>
      <c r="E6" s="6" t="s">
        <v>31</v>
      </c>
      <c r="F6" s="6" t="s">
        <v>370</v>
      </c>
      <c r="G6" s="6" t="s">
        <v>371</v>
      </c>
      <c r="H6" s="9">
        <v>37760834</v>
      </c>
      <c r="I6" s="9">
        <v>40956673</v>
      </c>
      <c r="J6" s="10">
        <v>-7.8E-2</v>
      </c>
      <c r="K6" s="11">
        <v>5</v>
      </c>
      <c r="L6" s="6" t="s">
        <v>263</v>
      </c>
    </row>
    <row r="7" spans="1:12" ht="42">
      <c r="A7" s="6" t="s">
        <v>158</v>
      </c>
      <c r="B7" s="6" t="s">
        <v>159</v>
      </c>
      <c r="C7" s="6" t="s">
        <v>160</v>
      </c>
      <c r="D7" s="6" t="s">
        <v>161</v>
      </c>
      <c r="E7" s="6" t="s">
        <v>31</v>
      </c>
      <c r="F7" s="6" t="s">
        <v>372</v>
      </c>
      <c r="G7" s="6" t="s">
        <v>373</v>
      </c>
      <c r="H7" s="9">
        <v>31466102</v>
      </c>
      <c r="I7" s="9">
        <v>30804355</v>
      </c>
      <c r="J7" s="10">
        <v>2.1499999999999998E-2</v>
      </c>
      <c r="K7" s="11">
        <v>6</v>
      </c>
      <c r="L7" s="6" t="s">
        <v>263</v>
      </c>
    </row>
    <row r="8" spans="1:12" ht="42">
      <c r="A8" s="6" t="s">
        <v>151</v>
      </c>
      <c r="B8" s="6" t="s">
        <v>152</v>
      </c>
      <c r="C8" s="6" t="s">
        <v>153</v>
      </c>
      <c r="D8" s="6" t="s">
        <v>154</v>
      </c>
      <c r="E8" s="6" t="s">
        <v>31</v>
      </c>
      <c r="F8" s="6" t="s">
        <v>362</v>
      </c>
      <c r="G8" s="6" t="s">
        <v>363</v>
      </c>
      <c r="H8" s="9">
        <v>28523822</v>
      </c>
      <c r="I8" s="9">
        <v>25896224</v>
      </c>
      <c r="J8" s="10">
        <v>0.10150000000000001</v>
      </c>
      <c r="K8" s="11">
        <v>7</v>
      </c>
      <c r="L8" s="6" t="s">
        <v>263</v>
      </c>
    </row>
    <row r="9" spans="1:12" ht="42">
      <c r="A9" s="6" t="s">
        <v>69</v>
      </c>
      <c r="B9" s="6" t="s">
        <v>70</v>
      </c>
      <c r="C9" s="6" t="s">
        <v>71</v>
      </c>
      <c r="D9" s="6" t="s">
        <v>72</v>
      </c>
      <c r="E9" s="6" t="s">
        <v>31</v>
      </c>
      <c r="F9" s="6" t="s">
        <v>370</v>
      </c>
      <c r="G9" s="6" t="s">
        <v>371</v>
      </c>
      <c r="H9" s="9">
        <v>28244966</v>
      </c>
      <c r="I9" s="9">
        <v>27896199</v>
      </c>
      <c r="J9" s="10">
        <v>1.2500000000000001E-2</v>
      </c>
      <c r="K9" s="11">
        <v>8</v>
      </c>
      <c r="L9" s="6" t="s">
        <v>263</v>
      </c>
    </row>
    <row r="10" spans="1:12" ht="42">
      <c r="A10" s="6" t="s">
        <v>92</v>
      </c>
      <c r="B10" s="6" t="s">
        <v>93</v>
      </c>
      <c r="C10" s="6" t="s">
        <v>94</v>
      </c>
      <c r="D10" s="6" t="s">
        <v>82</v>
      </c>
      <c r="E10" s="6" t="s">
        <v>31</v>
      </c>
      <c r="F10" s="6" t="s">
        <v>362</v>
      </c>
      <c r="G10" s="6" t="s">
        <v>363</v>
      </c>
      <c r="H10" s="9">
        <v>27859783</v>
      </c>
      <c r="I10" s="9">
        <v>28033205</v>
      </c>
      <c r="J10" s="10">
        <v>-6.1999999999999998E-3</v>
      </c>
      <c r="K10" s="11">
        <v>9</v>
      </c>
      <c r="L10" s="6" t="s">
        <v>263</v>
      </c>
    </row>
    <row r="11" spans="1:12" ht="42">
      <c r="A11" s="6" t="s">
        <v>79</v>
      </c>
      <c r="B11" s="6" t="s">
        <v>80</v>
      </c>
      <c r="C11" s="6" t="s">
        <v>81</v>
      </c>
      <c r="D11" s="6" t="s">
        <v>82</v>
      </c>
      <c r="E11" s="6" t="s">
        <v>31</v>
      </c>
      <c r="F11" s="6" t="s">
        <v>362</v>
      </c>
      <c r="G11" s="6" t="s">
        <v>363</v>
      </c>
      <c r="H11" s="9">
        <v>26588002</v>
      </c>
      <c r="I11" s="9">
        <v>24717048</v>
      </c>
      <c r="J11" s="10">
        <v>7.5700000000000003E-2</v>
      </c>
      <c r="K11" s="11">
        <v>10</v>
      </c>
      <c r="L11" s="6" t="s">
        <v>263</v>
      </c>
    </row>
    <row r="12" spans="1:12" ht="42">
      <c r="A12" s="6" t="s">
        <v>74</v>
      </c>
      <c r="B12" s="6" t="s">
        <v>75</v>
      </c>
      <c r="C12" s="6" t="s">
        <v>76</v>
      </c>
      <c r="D12" s="6" t="s">
        <v>77</v>
      </c>
      <c r="E12" s="6" t="s">
        <v>31</v>
      </c>
      <c r="F12" s="6" t="s">
        <v>370</v>
      </c>
      <c r="G12" s="6" t="s">
        <v>371</v>
      </c>
      <c r="H12" s="9">
        <v>25595723</v>
      </c>
      <c r="I12" s="9">
        <v>23880504</v>
      </c>
      <c r="J12" s="10">
        <v>7.1800000000000003E-2</v>
      </c>
      <c r="K12" s="11">
        <v>11</v>
      </c>
      <c r="L12" s="6" t="s">
        <v>263</v>
      </c>
    </row>
    <row r="13" spans="1:12" ht="42">
      <c r="A13" s="6" t="s">
        <v>46</v>
      </c>
      <c r="B13" s="6" t="s">
        <v>47</v>
      </c>
      <c r="C13" s="6" t="s">
        <v>48</v>
      </c>
      <c r="D13" s="6" t="s">
        <v>49</v>
      </c>
      <c r="E13" s="6" t="s">
        <v>31</v>
      </c>
      <c r="F13" s="6" t="s">
        <v>366</v>
      </c>
      <c r="G13" s="6" t="s">
        <v>367</v>
      </c>
      <c r="H13" s="9">
        <v>25414592</v>
      </c>
      <c r="I13" s="9">
        <v>24594210</v>
      </c>
      <c r="J13" s="10">
        <v>3.3399999999999999E-2</v>
      </c>
      <c r="K13" s="11">
        <v>12</v>
      </c>
      <c r="L13" s="6" t="s">
        <v>263</v>
      </c>
    </row>
    <row r="14" spans="1:12" ht="42">
      <c r="A14" s="6" t="s">
        <v>84</v>
      </c>
      <c r="B14" s="6" t="s">
        <v>85</v>
      </c>
      <c r="C14" s="6" t="s">
        <v>86</v>
      </c>
      <c r="D14" s="6" t="s">
        <v>44</v>
      </c>
      <c r="E14" s="6" t="s">
        <v>31</v>
      </c>
      <c r="F14" s="6" t="s">
        <v>370</v>
      </c>
      <c r="G14" s="6" t="s">
        <v>371</v>
      </c>
      <c r="H14" s="9">
        <v>25078968</v>
      </c>
      <c r="I14" s="9">
        <v>24191159</v>
      </c>
      <c r="J14" s="10">
        <v>3.6700000000000003E-2</v>
      </c>
      <c r="K14" s="11">
        <v>13</v>
      </c>
      <c r="L14" s="6" t="s">
        <v>263</v>
      </c>
    </row>
    <row r="15" spans="1:12" ht="42">
      <c r="A15" s="6" t="s">
        <v>164</v>
      </c>
      <c r="B15" s="6" t="s">
        <v>165</v>
      </c>
      <c r="C15" s="6" t="s">
        <v>166</v>
      </c>
      <c r="D15" s="6" t="s">
        <v>167</v>
      </c>
      <c r="E15" s="6" t="s">
        <v>31</v>
      </c>
      <c r="F15" s="6" t="s">
        <v>372</v>
      </c>
      <c r="G15" s="6" t="s">
        <v>373</v>
      </c>
      <c r="H15" s="9">
        <v>24544320</v>
      </c>
      <c r="I15" s="9">
        <v>24575320</v>
      </c>
      <c r="J15" s="10">
        <v>-1.2999999999999999E-3</v>
      </c>
      <c r="K15" s="11">
        <v>14</v>
      </c>
      <c r="L15" s="6" t="s">
        <v>263</v>
      </c>
    </row>
    <row r="16" spans="1:12" ht="42">
      <c r="A16" s="6" t="s">
        <v>88</v>
      </c>
      <c r="B16" s="6" t="s">
        <v>89</v>
      </c>
      <c r="C16" s="6" t="s">
        <v>90</v>
      </c>
      <c r="D16" s="6" t="s">
        <v>39</v>
      </c>
      <c r="E16" s="6" t="s">
        <v>31</v>
      </c>
      <c r="F16" s="6" t="s">
        <v>364</v>
      </c>
      <c r="G16" s="6" t="s">
        <v>365</v>
      </c>
      <c r="H16" s="9">
        <v>23349157</v>
      </c>
      <c r="I16" s="9">
        <v>22228844</v>
      </c>
      <c r="J16" s="10">
        <v>5.04E-2</v>
      </c>
      <c r="K16" s="11">
        <v>15</v>
      </c>
      <c r="L16" s="6" t="s">
        <v>263</v>
      </c>
    </row>
    <row r="17" spans="1:12" ht="42">
      <c r="A17" s="6" t="s">
        <v>101</v>
      </c>
      <c r="B17" s="6" t="s">
        <v>102</v>
      </c>
      <c r="C17" s="6" t="s">
        <v>103</v>
      </c>
      <c r="D17" s="6" t="s">
        <v>104</v>
      </c>
      <c r="E17" s="6" t="s">
        <v>31</v>
      </c>
      <c r="F17" s="6" t="s">
        <v>374</v>
      </c>
      <c r="G17" s="6" t="s">
        <v>375</v>
      </c>
      <c r="H17" s="9">
        <v>21090721</v>
      </c>
      <c r="I17" s="9">
        <v>19962678</v>
      </c>
      <c r="J17" s="10">
        <v>5.6500000000000002E-2</v>
      </c>
      <c r="K17" s="11">
        <v>16</v>
      </c>
      <c r="L17" s="6" t="s">
        <v>263</v>
      </c>
    </row>
    <row r="18" spans="1:12" ht="42">
      <c r="A18" s="6" t="s">
        <v>115</v>
      </c>
      <c r="B18" s="6" t="s">
        <v>116</v>
      </c>
      <c r="C18" s="6" t="s">
        <v>117</v>
      </c>
      <c r="D18" s="6" t="s">
        <v>118</v>
      </c>
      <c r="E18" s="6" t="s">
        <v>31</v>
      </c>
      <c r="F18" s="6" t="s">
        <v>368</v>
      </c>
      <c r="G18" s="6" t="s">
        <v>369</v>
      </c>
      <c r="H18" s="9">
        <v>18054481</v>
      </c>
      <c r="I18" s="9">
        <v>17019128</v>
      </c>
      <c r="J18" s="10">
        <v>6.08E-2</v>
      </c>
      <c r="K18" s="11">
        <v>17</v>
      </c>
      <c r="L18" s="6" t="s">
        <v>263</v>
      </c>
    </row>
    <row r="19" spans="1:12" ht="42">
      <c r="A19" s="6" t="s">
        <v>106</v>
      </c>
      <c r="B19" s="6" t="s">
        <v>107</v>
      </c>
      <c r="C19" s="6" t="s">
        <v>108</v>
      </c>
      <c r="D19" s="6" t="s">
        <v>82</v>
      </c>
      <c r="E19" s="6" t="s">
        <v>31</v>
      </c>
      <c r="F19" s="6" t="s">
        <v>362</v>
      </c>
      <c r="G19" s="6" t="s">
        <v>363</v>
      </c>
      <c r="H19" s="9">
        <v>17096131</v>
      </c>
      <c r="I19" s="9">
        <v>17063063</v>
      </c>
      <c r="J19" s="10">
        <v>1.9E-3</v>
      </c>
      <c r="K19" s="11">
        <v>18</v>
      </c>
      <c r="L19" s="6" t="s">
        <v>263</v>
      </c>
    </row>
    <row r="20" spans="1:12" ht="42">
      <c r="A20" s="6" t="s">
        <v>170</v>
      </c>
      <c r="B20" s="6" t="s">
        <v>376</v>
      </c>
      <c r="C20" s="6" t="s">
        <v>160</v>
      </c>
      <c r="D20" s="6" t="s">
        <v>161</v>
      </c>
      <c r="E20" s="6" t="s">
        <v>31</v>
      </c>
      <c r="F20" s="6" t="s">
        <v>372</v>
      </c>
      <c r="G20" s="6" t="s">
        <v>373</v>
      </c>
      <c r="H20" s="9">
        <v>16715567</v>
      </c>
      <c r="I20" s="9">
        <v>16173073</v>
      </c>
      <c r="J20" s="10">
        <v>3.3500000000000002E-2</v>
      </c>
      <c r="K20" s="11">
        <v>19</v>
      </c>
      <c r="L20" s="6" t="s">
        <v>263</v>
      </c>
    </row>
    <row r="21" spans="1:12" ht="42">
      <c r="A21" s="6" t="s">
        <v>96</v>
      </c>
      <c r="B21" s="6" t="s">
        <v>97</v>
      </c>
      <c r="C21" s="6" t="s">
        <v>98</v>
      </c>
      <c r="D21" s="6" t="s">
        <v>99</v>
      </c>
      <c r="E21" s="6" t="s">
        <v>31</v>
      </c>
      <c r="F21" s="6" t="s">
        <v>368</v>
      </c>
      <c r="G21" s="6" t="s">
        <v>369</v>
      </c>
      <c r="H21" s="9">
        <v>16110696</v>
      </c>
      <c r="I21" s="9">
        <v>15378601</v>
      </c>
      <c r="J21" s="10">
        <v>4.7600000000000003E-2</v>
      </c>
      <c r="K21" s="11">
        <v>20</v>
      </c>
      <c r="L21" s="6" t="s">
        <v>263</v>
      </c>
    </row>
    <row r="22" spans="1:12" ht="42">
      <c r="A22" s="6" t="s">
        <v>110</v>
      </c>
      <c r="B22" s="6" t="s">
        <v>111</v>
      </c>
      <c r="C22" s="6" t="s">
        <v>112</v>
      </c>
      <c r="D22" s="6" t="s">
        <v>113</v>
      </c>
      <c r="E22" s="6" t="s">
        <v>31</v>
      </c>
      <c r="F22" s="6" t="s">
        <v>372</v>
      </c>
      <c r="G22" s="6" t="s">
        <v>373</v>
      </c>
      <c r="H22" s="9">
        <v>15102261</v>
      </c>
      <c r="I22" s="9">
        <v>13658669</v>
      </c>
      <c r="J22" s="10">
        <v>0.1057</v>
      </c>
      <c r="K22" s="11">
        <v>21</v>
      </c>
      <c r="L22" s="6" t="s">
        <v>263</v>
      </c>
    </row>
    <row r="23" spans="1:12" ht="42">
      <c r="A23" s="6" t="s">
        <v>120</v>
      </c>
      <c r="B23" s="6" t="s">
        <v>121</v>
      </c>
      <c r="C23" s="6" t="s">
        <v>122</v>
      </c>
      <c r="D23" s="6" t="s">
        <v>123</v>
      </c>
      <c r="E23" s="6" t="s">
        <v>31</v>
      </c>
      <c r="F23" s="6" t="s">
        <v>366</v>
      </c>
      <c r="G23" s="6" t="s">
        <v>367</v>
      </c>
      <c r="H23" s="9">
        <v>13543570</v>
      </c>
      <c r="I23" s="9">
        <v>12905368</v>
      </c>
      <c r="J23" s="10">
        <v>4.9500000000000002E-2</v>
      </c>
      <c r="K23" s="11">
        <v>22</v>
      </c>
      <c r="L23" s="6" t="s">
        <v>263</v>
      </c>
    </row>
    <row r="24" spans="1:12" ht="42">
      <c r="A24" s="6" t="s">
        <v>125</v>
      </c>
      <c r="B24" s="6" t="s">
        <v>126</v>
      </c>
      <c r="C24" s="6" t="s">
        <v>127</v>
      </c>
      <c r="D24" s="6" t="s">
        <v>128</v>
      </c>
      <c r="E24" s="6" t="s">
        <v>31</v>
      </c>
      <c r="F24" s="6" t="s">
        <v>372</v>
      </c>
      <c r="G24" s="6" t="s">
        <v>373</v>
      </c>
      <c r="H24" s="9">
        <v>13221461</v>
      </c>
      <c r="I24" s="9">
        <v>12849721</v>
      </c>
      <c r="J24" s="10">
        <v>2.8899999999999999E-2</v>
      </c>
      <c r="K24" s="11">
        <v>23</v>
      </c>
      <c r="L24" s="6" t="s">
        <v>263</v>
      </c>
    </row>
    <row r="25" spans="1:12" ht="42">
      <c r="A25" s="6" t="s">
        <v>173</v>
      </c>
      <c r="B25" s="6" t="s">
        <v>174</v>
      </c>
      <c r="C25" s="6" t="s">
        <v>175</v>
      </c>
      <c r="D25" s="6" t="s">
        <v>176</v>
      </c>
      <c r="E25" s="6" t="s">
        <v>31</v>
      </c>
      <c r="F25" s="6" t="s">
        <v>372</v>
      </c>
      <c r="G25" s="6" t="s">
        <v>373</v>
      </c>
      <c r="H25" s="9">
        <v>13003234</v>
      </c>
      <c r="I25" s="9">
        <v>12073571</v>
      </c>
      <c r="J25" s="10">
        <v>7.6999999999999999E-2</v>
      </c>
      <c r="K25" s="11">
        <v>24</v>
      </c>
      <c r="L25" s="6" t="s">
        <v>263</v>
      </c>
    </row>
    <row r="26" spans="1:12" ht="42">
      <c r="A26" s="6" t="s">
        <v>138</v>
      </c>
      <c r="B26" s="6" t="s">
        <v>139</v>
      </c>
      <c r="C26" s="6" t="s">
        <v>140</v>
      </c>
      <c r="D26" s="6" t="s">
        <v>44</v>
      </c>
      <c r="E26" s="6" t="s">
        <v>31</v>
      </c>
      <c r="F26" s="6" t="s">
        <v>370</v>
      </c>
      <c r="G26" s="6" t="s">
        <v>371</v>
      </c>
      <c r="H26" s="9">
        <v>12780013</v>
      </c>
      <c r="I26" s="9">
        <v>12190183</v>
      </c>
      <c r="J26" s="10">
        <v>4.8399999999999999E-2</v>
      </c>
      <c r="K26" s="11">
        <v>25</v>
      </c>
      <c r="L26" s="6" t="s">
        <v>263</v>
      </c>
    </row>
    <row r="27" spans="1:12" ht="42">
      <c r="A27" s="6" t="s">
        <v>179</v>
      </c>
      <c r="B27" s="6" t="s">
        <v>180</v>
      </c>
      <c r="C27" s="6" t="s">
        <v>181</v>
      </c>
      <c r="D27" s="6" t="s">
        <v>176</v>
      </c>
      <c r="E27" s="6" t="s">
        <v>31</v>
      </c>
      <c r="F27" s="6" t="s">
        <v>372</v>
      </c>
      <c r="G27" s="6" t="s">
        <v>373</v>
      </c>
      <c r="H27" s="9">
        <v>12750892</v>
      </c>
      <c r="I27" s="9">
        <v>12365030</v>
      </c>
      <c r="J27" s="10">
        <v>3.1199999999999999E-2</v>
      </c>
      <c r="K27" s="11">
        <v>26</v>
      </c>
      <c r="L27" s="6" t="s">
        <v>263</v>
      </c>
    </row>
    <row r="28" spans="1:12" ht="42">
      <c r="A28" s="6" t="s">
        <v>130</v>
      </c>
      <c r="B28" s="6" t="s">
        <v>131</v>
      </c>
      <c r="C28" s="6" t="s">
        <v>132</v>
      </c>
      <c r="D28" s="6" t="s">
        <v>82</v>
      </c>
      <c r="E28" s="6" t="s">
        <v>31</v>
      </c>
      <c r="F28" s="6" t="s">
        <v>362</v>
      </c>
      <c r="G28" s="6" t="s">
        <v>363</v>
      </c>
      <c r="H28" s="9">
        <v>12075591</v>
      </c>
      <c r="I28" s="9">
        <v>11677632</v>
      </c>
      <c r="J28" s="10">
        <v>3.4099999999999998E-2</v>
      </c>
      <c r="K28" s="11">
        <v>27</v>
      </c>
      <c r="L28" s="6" t="s">
        <v>263</v>
      </c>
    </row>
    <row r="29" spans="1:12" ht="42">
      <c r="A29" s="6" t="s">
        <v>142</v>
      </c>
      <c r="B29" s="6" t="s">
        <v>143</v>
      </c>
      <c r="C29" s="6" t="s">
        <v>144</v>
      </c>
      <c r="D29" s="6" t="s">
        <v>145</v>
      </c>
      <c r="E29" s="6" t="s">
        <v>31</v>
      </c>
      <c r="F29" s="6" t="s">
        <v>362</v>
      </c>
      <c r="G29" s="6" t="s">
        <v>363</v>
      </c>
      <c r="H29" s="9">
        <v>12058688</v>
      </c>
      <c r="I29" s="9">
        <v>11227243</v>
      </c>
      <c r="J29" s="10">
        <v>7.4099999999999999E-2</v>
      </c>
      <c r="K29" s="11">
        <v>28</v>
      </c>
      <c r="L29" s="6" t="s">
        <v>263</v>
      </c>
    </row>
    <row r="30" spans="1:12" ht="42">
      <c r="A30" s="6" t="s">
        <v>134</v>
      </c>
      <c r="B30" s="6" t="s">
        <v>135</v>
      </c>
      <c r="C30" s="6" t="s">
        <v>136</v>
      </c>
      <c r="D30" s="6" t="s">
        <v>39</v>
      </c>
      <c r="E30" s="6" t="s">
        <v>31</v>
      </c>
      <c r="F30" s="6" t="s">
        <v>364</v>
      </c>
      <c r="G30" s="6" t="s">
        <v>365</v>
      </c>
      <c r="H30" s="9">
        <v>10678073</v>
      </c>
      <c r="I30" s="9">
        <v>10833443</v>
      </c>
      <c r="J30" s="10">
        <v>-1.43E-2</v>
      </c>
      <c r="K30" s="11">
        <v>29</v>
      </c>
      <c r="L30" s="6" t="s">
        <v>263</v>
      </c>
    </row>
    <row r="31" spans="1:12" ht="42">
      <c r="A31" s="6" t="s">
        <v>183</v>
      </c>
      <c r="B31" s="6" t="s">
        <v>184</v>
      </c>
      <c r="C31" s="6" t="s">
        <v>185</v>
      </c>
      <c r="D31" s="6" t="s">
        <v>186</v>
      </c>
      <c r="E31" s="6" t="s">
        <v>31</v>
      </c>
      <c r="F31" s="6" t="s">
        <v>370</v>
      </c>
      <c r="G31" s="6" t="s">
        <v>371</v>
      </c>
      <c r="H31" s="9">
        <v>10449022</v>
      </c>
      <c r="I31" s="9">
        <v>10149761</v>
      </c>
      <c r="J31" s="10">
        <v>2.9499999999999998E-2</v>
      </c>
      <c r="K31" s="11">
        <v>30</v>
      </c>
      <c r="L31" s="6" t="s">
        <v>263</v>
      </c>
    </row>
    <row r="32" spans="1:12" ht="42">
      <c r="A32" s="6" t="s">
        <v>189</v>
      </c>
      <c r="B32" s="6" t="s">
        <v>190</v>
      </c>
      <c r="C32" s="6" t="s">
        <v>66</v>
      </c>
      <c r="D32" s="6" t="s">
        <v>67</v>
      </c>
      <c r="E32" s="6" t="s">
        <v>31</v>
      </c>
      <c r="F32" s="6" t="s">
        <v>368</v>
      </c>
      <c r="G32" s="6" t="s">
        <v>369</v>
      </c>
      <c r="H32" s="9">
        <v>10360093</v>
      </c>
      <c r="I32" s="9">
        <v>10659520</v>
      </c>
      <c r="J32" s="10">
        <v>-2.81E-2</v>
      </c>
      <c r="K32" s="11">
        <v>31</v>
      </c>
      <c r="L32" s="6" t="s">
        <v>263</v>
      </c>
    </row>
    <row r="33" spans="1:12" ht="42">
      <c r="A33" s="6" t="s">
        <v>147</v>
      </c>
      <c r="B33" s="6" t="s">
        <v>148</v>
      </c>
      <c r="C33" s="6" t="s">
        <v>149</v>
      </c>
      <c r="D33" s="6" t="s">
        <v>39</v>
      </c>
      <c r="E33" s="6" t="s">
        <v>55</v>
      </c>
      <c r="F33" s="6" t="s">
        <v>364</v>
      </c>
      <c r="G33" s="6" t="s">
        <v>365</v>
      </c>
      <c r="H33" s="9">
        <v>8654991</v>
      </c>
      <c r="I33" s="9">
        <v>8559052</v>
      </c>
      <c r="J33" s="10">
        <v>1.12E-2</v>
      </c>
      <c r="K33" s="11">
        <v>32</v>
      </c>
      <c r="L33" s="6" t="s">
        <v>263</v>
      </c>
    </row>
    <row r="34" spans="1:12" ht="42">
      <c r="A34" s="6" t="s">
        <v>377</v>
      </c>
      <c r="B34" s="6" t="s">
        <v>378</v>
      </c>
      <c r="C34" s="6" t="s">
        <v>379</v>
      </c>
      <c r="D34" s="6" t="s">
        <v>380</v>
      </c>
      <c r="E34" s="6" t="s">
        <v>55</v>
      </c>
      <c r="F34" s="6" t="s">
        <v>366</v>
      </c>
      <c r="G34" s="6" t="s">
        <v>367</v>
      </c>
      <c r="H34" s="9">
        <v>8639088</v>
      </c>
      <c r="I34" s="9">
        <v>8123054</v>
      </c>
      <c r="J34" s="10">
        <v>6.3500000000000001E-2</v>
      </c>
      <c r="K34" s="11">
        <v>33</v>
      </c>
      <c r="L34" s="6" t="s">
        <v>263</v>
      </c>
    </row>
    <row r="35" spans="1:12" ht="42">
      <c r="A35" s="6" t="s">
        <v>381</v>
      </c>
      <c r="B35" s="6" t="s">
        <v>382</v>
      </c>
      <c r="C35" s="6" t="s">
        <v>383</v>
      </c>
      <c r="D35" s="6" t="s">
        <v>384</v>
      </c>
      <c r="E35" s="6" t="s">
        <v>55</v>
      </c>
      <c r="F35" s="6" t="s">
        <v>385</v>
      </c>
      <c r="G35" s="6" t="s">
        <v>386</v>
      </c>
      <c r="H35" s="9">
        <v>7807362</v>
      </c>
      <c r="I35" s="9">
        <v>7307561</v>
      </c>
      <c r="J35" s="10">
        <v>6.8400000000000002E-2</v>
      </c>
      <c r="K35" s="11">
        <v>34</v>
      </c>
      <c r="L35" s="6" t="s">
        <v>263</v>
      </c>
    </row>
    <row r="36" spans="1:12" ht="42">
      <c r="A36" s="6" t="s">
        <v>387</v>
      </c>
      <c r="B36" s="6" t="s">
        <v>388</v>
      </c>
      <c r="C36" s="6" t="s">
        <v>389</v>
      </c>
      <c r="D36" s="6" t="s">
        <v>154</v>
      </c>
      <c r="E36" s="6" t="s">
        <v>55</v>
      </c>
      <c r="F36" s="6" t="s">
        <v>362</v>
      </c>
      <c r="G36" s="6" t="s">
        <v>363</v>
      </c>
      <c r="H36" s="9">
        <v>7584394</v>
      </c>
      <c r="I36" s="9">
        <v>7119040</v>
      </c>
      <c r="J36" s="10">
        <v>6.54E-2</v>
      </c>
      <c r="K36" s="11">
        <v>35</v>
      </c>
      <c r="L36" s="6" t="s">
        <v>263</v>
      </c>
    </row>
    <row r="37" spans="1:12" ht="42">
      <c r="A37" s="6" t="s">
        <v>390</v>
      </c>
      <c r="B37" s="6" t="s">
        <v>391</v>
      </c>
      <c r="C37" s="6" t="s">
        <v>90</v>
      </c>
      <c r="D37" s="6" t="s">
        <v>39</v>
      </c>
      <c r="E37" s="6" t="s">
        <v>55</v>
      </c>
      <c r="F37" s="6" t="s">
        <v>364</v>
      </c>
      <c r="G37" s="6" t="s">
        <v>365</v>
      </c>
      <c r="H37" s="9">
        <v>7116967</v>
      </c>
      <c r="I37" s="9">
        <v>6800320</v>
      </c>
      <c r="J37" s="10">
        <v>4.6600000000000003E-2</v>
      </c>
      <c r="K37" s="11">
        <v>36</v>
      </c>
      <c r="L37" s="6" t="s">
        <v>263</v>
      </c>
    </row>
    <row r="38" spans="1:12" ht="42">
      <c r="A38" s="6" t="s">
        <v>392</v>
      </c>
      <c r="B38" s="6" t="s">
        <v>393</v>
      </c>
      <c r="C38" s="6" t="s">
        <v>394</v>
      </c>
      <c r="D38" s="6" t="s">
        <v>44</v>
      </c>
      <c r="E38" s="6" t="s">
        <v>55</v>
      </c>
      <c r="F38" s="6" t="s">
        <v>370</v>
      </c>
      <c r="G38" s="6" t="s">
        <v>371</v>
      </c>
      <c r="H38" s="9">
        <v>6679426</v>
      </c>
      <c r="I38" s="9">
        <v>6371910</v>
      </c>
      <c r="J38" s="10">
        <v>4.8300000000000003E-2</v>
      </c>
      <c r="K38" s="11">
        <v>37</v>
      </c>
      <c r="L38" s="6" t="s">
        <v>263</v>
      </c>
    </row>
    <row r="39" spans="1:12" ht="42">
      <c r="A39" s="6" t="s">
        <v>395</v>
      </c>
      <c r="B39" s="6" t="s">
        <v>396</v>
      </c>
      <c r="C39" s="6" t="s">
        <v>397</v>
      </c>
      <c r="D39" s="6" t="s">
        <v>398</v>
      </c>
      <c r="E39" s="6" t="s">
        <v>55</v>
      </c>
      <c r="F39" s="6" t="s">
        <v>364</v>
      </c>
      <c r="G39" s="6" t="s">
        <v>365</v>
      </c>
      <c r="H39" s="9">
        <v>6537092</v>
      </c>
      <c r="I39" s="9">
        <v>6309212</v>
      </c>
      <c r="J39" s="10">
        <v>3.61E-2</v>
      </c>
      <c r="K39" s="11">
        <v>38</v>
      </c>
      <c r="L39" s="6" t="s">
        <v>263</v>
      </c>
    </row>
    <row r="40" spans="1:12" ht="42">
      <c r="A40" s="6" t="s">
        <v>399</v>
      </c>
      <c r="B40" s="6" t="s">
        <v>400</v>
      </c>
      <c r="C40" s="6" t="s">
        <v>401</v>
      </c>
      <c r="D40" s="6" t="s">
        <v>402</v>
      </c>
      <c r="E40" s="6" t="s">
        <v>55</v>
      </c>
      <c r="F40" s="6" t="s">
        <v>362</v>
      </c>
      <c r="G40" s="6" t="s">
        <v>363</v>
      </c>
      <c r="H40" s="9">
        <v>6490669</v>
      </c>
      <c r="I40" s="9">
        <v>5985001</v>
      </c>
      <c r="J40" s="10">
        <v>8.4500000000000006E-2</v>
      </c>
      <c r="K40" s="11">
        <v>39</v>
      </c>
      <c r="L40" s="6" t="s">
        <v>263</v>
      </c>
    </row>
    <row r="41" spans="1:12" ht="42">
      <c r="A41" s="6" t="s">
        <v>403</v>
      </c>
      <c r="B41" s="6" t="s">
        <v>404</v>
      </c>
      <c r="C41" s="6" t="s">
        <v>405</v>
      </c>
      <c r="D41" s="6" t="s">
        <v>384</v>
      </c>
      <c r="E41" s="6" t="s">
        <v>55</v>
      </c>
      <c r="F41" s="6" t="s">
        <v>385</v>
      </c>
      <c r="G41" s="6" t="s">
        <v>386</v>
      </c>
      <c r="H41" s="9">
        <v>5915078</v>
      </c>
      <c r="I41" s="9">
        <v>5654068</v>
      </c>
      <c r="J41" s="10">
        <v>4.6199999999999998E-2</v>
      </c>
      <c r="K41" s="11">
        <v>40</v>
      </c>
      <c r="L41" s="6" t="s">
        <v>263</v>
      </c>
    </row>
    <row r="42" spans="1:12" ht="42">
      <c r="A42" s="6" t="s">
        <v>406</v>
      </c>
      <c r="B42" s="6" t="s">
        <v>407</v>
      </c>
      <c r="C42" s="6" t="s">
        <v>408</v>
      </c>
      <c r="D42" s="6" t="s">
        <v>44</v>
      </c>
      <c r="E42" s="6" t="s">
        <v>55</v>
      </c>
      <c r="F42" s="6" t="s">
        <v>370</v>
      </c>
      <c r="G42" s="6" t="s">
        <v>371</v>
      </c>
      <c r="H42" s="9">
        <v>5822019</v>
      </c>
      <c r="I42" s="9">
        <v>5958855</v>
      </c>
      <c r="J42" s="10">
        <v>-2.3E-2</v>
      </c>
      <c r="K42" s="11">
        <v>41</v>
      </c>
      <c r="L42" s="6" t="s">
        <v>263</v>
      </c>
    </row>
    <row r="43" spans="1:12" ht="42">
      <c r="A43" s="6" t="s">
        <v>409</v>
      </c>
      <c r="B43" s="6" t="s">
        <v>410</v>
      </c>
      <c r="C43" s="6" t="s">
        <v>411</v>
      </c>
      <c r="D43" s="6" t="s">
        <v>39</v>
      </c>
      <c r="E43" s="6" t="s">
        <v>55</v>
      </c>
      <c r="F43" s="6" t="s">
        <v>364</v>
      </c>
      <c r="G43" s="6" t="s">
        <v>365</v>
      </c>
      <c r="H43" s="9">
        <v>5466684</v>
      </c>
      <c r="I43" s="9">
        <v>5336684</v>
      </c>
      <c r="J43" s="10">
        <v>2.4400000000000002E-2</v>
      </c>
      <c r="K43" s="11">
        <v>42</v>
      </c>
      <c r="L43" s="6" t="s">
        <v>263</v>
      </c>
    </row>
    <row r="44" spans="1:12" ht="42">
      <c r="A44" s="6" t="s">
        <v>412</v>
      </c>
      <c r="B44" s="6" t="s">
        <v>413</v>
      </c>
      <c r="C44" s="6" t="s">
        <v>414</v>
      </c>
      <c r="D44" s="6" t="s">
        <v>82</v>
      </c>
      <c r="E44" s="6" t="s">
        <v>55</v>
      </c>
      <c r="F44" s="6" t="s">
        <v>362</v>
      </c>
      <c r="G44" s="6" t="s">
        <v>363</v>
      </c>
      <c r="H44" s="9">
        <v>5425293</v>
      </c>
      <c r="I44" s="9">
        <v>4963269</v>
      </c>
      <c r="J44" s="10">
        <v>9.3100000000000002E-2</v>
      </c>
      <c r="K44" s="11">
        <v>43</v>
      </c>
      <c r="L44" s="6" t="s">
        <v>263</v>
      </c>
    </row>
    <row r="45" spans="1:12" ht="42">
      <c r="A45" s="6" t="s">
        <v>415</v>
      </c>
      <c r="B45" s="6" t="s">
        <v>416</v>
      </c>
      <c r="C45" s="6" t="s">
        <v>417</v>
      </c>
      <c r="D45" s="6" t="s">
        <v>44</v>
      </c>
      <c r="E45" s="6" t="s">
        <v>55</v>
      </c>
      <c r="F45" s="6" t="s">
        <v>370</v>
      </c>
      <c r="G45" s="6" t="s">
        <v>371</v>
      </c>
      <c r="H45" s="9">
        <v>5370273</v>
      </c>
      <c r="I45" s="9">
        <v>5706332</v>
      </c>
      <c r="J45" s="10">
        <v>-5.8900000000000001E-2</v>
      </c>
      <c r="K45" s="11">
        <v>44</v>
      </c>
      <c r="L45" s="6" t="s">
        <v>263</v>
      </c>
    </row>
    <row r="46" spans="1:12" ht="42">
      <c r="A46" s="6" t="s">
        <v>418</v>
      </c>
      <c r="B46" s="6" t="s">
        <v>419</v>
      </c>
      <c r="C46" s="6" t="s">
        <v>420</v>
      </c>
      <c r="D46" s="6" t="s">
        <v>44</v>
      </c>
      <c r="E46" s="6" t="s">
        <v>55</v>
      </c>
      <c r="F46" s="6" t="s">
        <v>370</v>
      </c>
      <c r="G46" s="6" t="s">
        <v>371</v>
      </c>
      <c r="H46" s="9">
        <v>5292736</v>
      </c>
      <c r="I46" s="9">
        <v>5520812</v>
      </c>
      <c r="J46" s="10">
        <v>-4.1300000000000003E-2</v>
      </c>
      <c r="K46" s="11">
        <v>45</v>
      </c>
      <c r="L46" s="6" t="s">
        <v>263</v>
      </c>
    </row>
    <row r="47" spans="1:12" ht="42">
      <c r="A47" s="6" t="s">
        <v>421</v>
      </c>
      <c r="B47" s="6" t="s">
        <v>422</v>
      </c>
      <c r="C47" s="6" t="s">
        <v>423</v>
      </c>
      <c r="D47" s="6" t="s">
        <v>424</v>
      </c>
      <c r="E47" s="6" t="s">
        <v>55</v>
      </c>
      <c r="F47" s="6" t="s">
        <v>368</v>
      </c>
      <c r="G47" s="6" t="s">
        <v>369</v>
      </c>
      <c r="H47" s="9">
        <v>5181947</v>
      </c>
      <c r="I47" s="9">
        <v>4788376</v>
      </c>
      <c r="J47" s="10">
        <v>8.2199999999999995E-2</v>
      </c>
      <c r="K47" s="11">
        <v>46</v>
      </c>
      <c r="L47" s="6" t="s">
        <v>263</v>
      </c>
    </row>
    <row r="48" spans="1:12" ht="42">
      <c r="A48" s="6" t="s">
        <v>51</v>
      </c>
      <c r="B48" s="6" t="s">
        <v>52</v>
      </c>
      <c r="C48" s="6" t="s">
        <v>53</v>
      </c>
      <c r="D48" s="6" t="s">
        <v>54</v>
      </c>
      <c r="E48" s="6" t="s">
        <v>55</v>
      </c>
      <c r="F48" s="6" t="s">
        <v>368</v>
      </c>
      <c r="G48" s="6" t="s">
        <v>369</v>
      </c>
      <c r="H48" s="9">
        <v>4950345</v>
      </c>
      <c r="I48" s="9">
        <v>4803822</v>
      </c>
      <c r="J48" s="10">
        <v>3.0499999999999999E-2</v>
      </c>
      <c r="K48" s="11">
        <v>47</v>
      </c>
      <c r="L48" s="6" t="s">
        <v>263</v>
      </c>
    </row>
    <row r="49" spans="1:12" ht="42">
      <c r="A49" s="6" t="s">
        <v>425</v>
      </c>
      <c r="B49" s="6" t="s">
        <v>426</v>
      </c>
      <c r="C49" s="6" t="s">
        <v>427</v>
      </c>
      <c r="D49" s="6" t="s">
        <v>113</v>
      </c>
      <c r="E49" s="6" t="s">
        <v>55</v>
      </c>
      <c r="F49" s="6" t="s">
        <v>372</v>
      </c>
      <c r="G49" s="6" t="s">
        <v>373</v>
      </c>
      <c r="H49" s="9">
        <v>4862376</v>
      </c>
      <c r="I49" s="9">
        <v>4493052</v>
      </c>
      <c r="J49" s="10">
        <v>8.2199999999999995E-2</v>
      </c>
      <c r="K49" s="11">
        <v>48</v>
      </c>
      <c r="L49" s="6" t="s">
        <v>263</v>
      </c>
    </row>
    <row r="50" spans="1:12" ht="42">
      <c r="A50" s="6" t="s">
        <v>428</v>
      </c>
      <c r="B50" s="6" t="s">
        <v>429</v>
      </c>
      <c r="C50" s="6" t="s">
        <v>430</v>
      </c>
      <c r="D50" s="6" t="s">
        <v>431</v>
      </c>
      <c r="E50" s="6" t="s">
        <v>55</v>
      </c>
      <c r="F50" s="6" t="s">
        <v>362</v>
      </c>
      <c r="G50" s="6" t="s">
        <v>363</v>
      </c>
      <c r="H50" s="9">
        <v>4500414</v>
      </c>
      <c r="I50" s="9">
        <v>4287722</v>
      </c>
      <c r="J50" s="10">
        <v>4.9599999999999998E-2</v>
      </c>
      <c r="K50" s="11">
        <v>49</v>
      </c>
      <c r="L50" s="6" t="s">
        <v>263</v>
      </c>
    </row>
    <row r="51" spans="1:12" ht="42">
      <c r="A51" s="6" t="s">
        <v>432</v>
      </c>
      <c r="B51" s="6" t="s">
        <v>433</v>
      </c>
      <c r="C51" s="6" t="s">
        <v>434</v>
      </c>
      <c r="D51" s="6" t="s">
        <v>54</v>
      </c>
      <c r="E51" s="6" t="s">
        <v>55</v>
      </c>
      <c r="F51" s="6" t="s">
        <v>368</v>
      </c>
      <c r="G51" s="6" t="s">
        <v>369</v>
      </c>
      <c r="H51" s="9">
        <v>4387395</v>
      </c>
      <c r="I51" s="9">
        <v>4095189</v>
      </c>
      <c r="J51" s="10">
        <v>7.1400000000000005E-2</v>
      </c>
      <c r="K51" s="11">
        <v>50</v>
      </c>
      <c r="L51" s="6" t="s">
        <v>263</v>
      </c>
    </row>
    <row r="52" spans="1:12" ht="42">
      <c r="A52" s="6" t="s">
        <v>435</v>
      </c>
      <c r="B52" s="6" t="s">
        <v>436</v>
      </c>
      <c r="C52" s="6" t="s">
        <v>437</v>
      </c>
      <c r="D52" s="6" t="s">
        <v>82</v>
      </c>
      <c r="E52" s="6" t="s">
        <v>55</v>
      </c>
      <c r="F52" s="6" t="s">
        <v>362</v>
      </c>
      <c r="G52" s="6" t="s">
        <v>363</v>
      </c>
      <c r="H52" s="9">
        <v>4127211</v>
      </c>
      <c r="I52" s="9">
        <v>3815977</v>
      </c>
      <c r="J52" s="10">
        <v>8.1600000000000006E-2</v>
      </c>
      <c r="K52" s="11">
        <v>51</v>
      </c>
      <c r="L52" s="6" t="s">
        <v>263</v>
      </c>
    </row>
    <row r="53" spans="1:12" ht="42">
      <c r="A53" s="6" t="s">
        <v>438</v>
      </c>
      <c r="B53" s="6" t="s">
        <v>439</v>
      </c>
      <c r="C53" s="6" t="s">
        <v>440</v>
      </c>
      <c r="D53" s="6" t="s">
        <v>82</v>
      </c>
      <c r="E53" s="6" t="s">
        <v>55</v>
      </c>
      <c r="F53" s="6" t="s">
        <v>362</v>
      </c>
      <c r="G53" s="6" t="s">
        <v>363</v>
      </c>
      <c r="H53" s="9">
        <v>3749791</v>
      </c>
      <c r="I53" s="9">
        <v>3619739</v>
      </c>
      <c r="J53" s="10">
        <v>3.5900000000000001E-2</v>
      </c>
      <c r="K53" s="11">
        <v>52</v>
      </c>
      <c r="L53" s="6" t="s">
        <v>263</v>
      </c>
    </row>
    <row r="54" spans="1:12" ht="42">
      <c r="A54" s="6" t="s">
        <v>441</v>
      </c>
      <c r="B54" s="6" t="s">
        <v>442</v>
      </c>
      <c r="C54" s="6" t="s">
        <v>443</v>
      </c>
      <c r="D54" s="6" t="s">
        <v>44</v>
      </c>
      <c r="E54" s="6" t="s">
        <v>55</v>
      </c>
      <c r="F54" s="6" t="s">
        <v>370</v>
      </c>
      <c r="G54" s="6" t="s">
        <v>371</v>
      </c>
      <c r="H54" s="9">
        <v>3494554</v>
      </c>
      <c r="I54" s="9">
        <v>3181161</v>
      </c>
      <c r="J54" s="10">
        <v>9.8500000000000004E-2</v>
      </c>
      <c r="K54" s="11">
        <v>53</v>
      </c>
      <c r="L54" s="6" t="s">
        <v>263</v>
      </c>
    </row>
    <row r="55" spans="1:12" ht="42">
      <c r="A55" s="6" t="s">
        <v>444</v>
      </c>
      <c r="B55" s="6" t="s">
        <v>445</v>
      </c>
      <c r="C55" s="6" t="s">
        <v>445</v>
      </c>
      <c r="D55" s="6" t="s">
        <v>186</v>
      </c>
      <c r="E55" s="6" t="s">
        <v>55</v>
      </c>
      <c r="F55" s="6" t="s">
        <v>370</v>
      </c>
      <c r="G55" s="6" t="s">
        <v>371</v>
      </c>
      <c r="H55" s="9">
        <v>3415615</v>
      </c>
      <c r="I55" s="9">
        <v>3745866</v>
      </c>
      <c r="J55" s="10">
        <v>-8.8200000000000001E-2</v>
      </c>
      <c r="K55" s="11">
        <v>54</v>
      </c>
      <c r="L55" s="6" t="s">
        <v>263</v>
      </c>
    </row>
    <row r="56" spans="1:12" ht="42">
      <c r="A56" s="6" t="s">
        <v>446</v>
      </c>
      <c r="B56" s="6" t="s">
        <v>447</v>
      </c>
      <c r="C56" s="6" t="s">
        <v>448</v>
      </c>
      <c r="D56" s="6" t="s">
        <v>44</v>
      </c>
      <c r="E56" s="6" t="s">
        <v>55</v>
      </c>
      <c r="F56" s="6" t="s">
        <v>370</v>
      </c>
      <c r="G56" s="6" t="s">
        <v>371</v>
      </c>
      <c r="H56" s="9">
        <v>3383237</v>
      </c>
      <c r="I56" s="9">
        <v>3132029</v>
      </c>
      <c r="J56" s="10">
        <v>8.0199999999999994E-2</v>
      </c>
      <c r="K56" s="11">
        <v>55</v>
      </c>
      <c r="L56" s="6" t="s">
        <v>263</v>
      </c>
    </row>
    <row r="57" spans="1:12" ht="42">
      <c r="A57" s="6" t="s">
        <v>449</v>
      </c>
      <c r="B57" s="6" t="s">
        <v>450</v>
      </c>
      <c r="C57" s="6" t="s">
        <v>451</v>
      </c>
      <c r="D57" s="6" t="s">
        <v>452</v>
      </c>
      <c r="E57" s="6" t="s">
        <v>55</v>
      </c>
      <c r="F57" s="6" t="s">
        <v>374</v>
      </c>
      <c r="G57" s="6" t="s">
        <v>375</v>
      </c>
      <c r="H57" s="9">
        <v>3285194</v>
      </c>
      <c r="I57" s="9">
        <v>3122212</v>
      </c>
      <c r="J57" s="10">
        <v>5.2200000000000003E-2</v>
      </c>
      <c r="K57" s="11">
        <v>56</v>
      </c>
      <c r="L57" s="6" t="s">
        <v>263</v>
      </c>
    </row>
    <row r="58" spans="1:12" ht="42">
      <c r="A58" s="6" t="s">
        <v>453</v>
      </c>
      <c r="B58" s="6" t="s">
        <v>454</v>
      </c>
      <c r="C58" s="6" t="s">
        <v>455</v>
      </c>
      <c r="D58" s="6" t="s">
        <v>456</v>
      </c>
      <c r="E58" s="6" t="s">
        <v>55</v>
      </c>
      <c r="F58" s="6" t="s">
        <v>362</v>
      </c>
      <c r="G58" s="6" t="s">
        <v>363</v>
      </c>
      <c r="H58" s="9">
        <v>3115194</v>
      </c>
      <c r="I58" s="9">
        <v>3032768</v>
      </c>
      <c r="J58" s="10">
        <v>2.7199999999999998E-2</v>
      </c>
      <c r="K58" s="11">
        <v>57</v>
      </c>
      <c r="L58" s="6" t="s">
        <v>263</v>
      </c>
    </row>
    <row r="59" spans="1:12" ht="42">
      <c r="A59" s="6" t="s">
        <v>457</v>
      </c>
      <c r="B59" s="6" t="s">
        <v>458</v>
      </c>
      <c r="C59" s="6" t="s">
        <v>459</v>
      </c>
      <c r="D59" s="6" t="s">
        <v>460</v>
      </c>
      <c r="E59" s="6" t="s">
        <v>55</v>
      </c>
      <c r="F59" s="6" t="s">
        <v>368</v>
      </c>
      <c r="G59" s="6" t="s">
        <v>369</v>
      </c>
      <c r="H59" s="9">
        <v>3104054</v>
      </c>
      <c r="I59" s="9">
        <v>2959840</v>
      </c>
      <c r="J59" s="10">
        <v>4.87E-2</v>
      </c>
      <c r="K59" s="11">
        <v>58</v>
      </c>
      <c r="L59" s="6" t="s">
        <v>263</v>
      </c>
    </row>
    <row r="60" spans="1:12" ht="42">
      <c r="A60" s="6" t="s">
        <v>461</v>
      </c>
      <c r="B60" s="6" t="s">
        <v>462</v>
      </c>
      <c r="C60" s="6" t="s">
        <v>463</v>
      </c>
      <c r="D60" s="6" t="s">
        <v>464</v>
      </c>
      <c r="E60" s="6" t="s">
        <v>55</v>
      </c>
      <c r="F60" s="6" t="s">
        <v>465</v>
      </c>
      <c r="G60" s="6" t="s">
        <v>466</v>
      </c>
      <c r="H60" s="9">
        <v>2767856</v>
      </c>
      <c r="I60" s="9">
        <v>2681818</v>
      </c>
      <c r="J60" s="10">
        <v>3.2099999999999997E-2</v>
      </c>
      <c r="K60" s="11">
        <v>59</v>
      </c>
      <c r="L60" s="6" t="s">
        <v>263</v>
      </c>
    </row>
    <row r="61" spans="1:12" ht="42">
      <c r="A61" s="6" t="s">
        <v>467</v>
      </c>
      <c r="B61" s="6" t="s">
        <v>468</v>
      </c>
      <c r="C61" s="6" t="s">
        <v>469</v>
      </c>
      <c r="D61" s="6" t="s">
        <v>366</v>
      </c>
      <c r="E61" s="6" t="s">
        <v>55</v>
      </c>
      <c r="F61" s="6" t="s">
        <v>364</v>
      </c>
      <c r="G61" s="6" t="s">
        <v>365</v>
      </c>
      <c r="H61" s="9">
        <v>2690218</v>
      </c>
      <c r="I61" s="9">
        <v>2605163</v>
      </c>
      <c r="J61" s="10">
        <v>3.2599999999999997E-2</v>
      </c>
      <c r="K61" s="11">
        <v>60</v>
      </c>
      <c r="L61" s="6" t="s">
        <v>263</v>
      </c>
    </row>
    <row r="62" spans="1:12" ht="42">
      <c r="A62" s="6" t="s">
        <v>470</v>
      </c>
      <c r="B62" s="6" t="s">
        <v>471</v>
      </c>
      <c r="C62" s="6" t="s">
        <v>472</v>
      </c>
      <c r="D62" s="6" t="s">
        <v>374</v>
      </c>
      <c r="E62" s="6" t="s">
        <v>55</v>
      </c>
      <c r="F62" s="6" t="s">
        <v>385</v>
      </c>
      <c r="G62" s="6" t="s">
        <v>386</v>
      </c>
      <c r="H62" s="9">
        <v>2583212</v>
      </c>
      <c r="I62" s="9">
        <v>2464418</v>
      </c>
      <c r="J62" s="10">
        <v>4.82E-2</v>
      </c>
      <c r="K62" s="11">
        <v>61</v>
      </c>
      <c r="L62" s="6" t="s">
        <v>263</v>
      </c>
    </row>
    <row r="63" spans="1:12" ht="42">
      <c r="A63" s="6" t="s">
        <v>473</v>
      </c>
      <c r="B63" s="6" t="s">
        <v>474</v>
      </c>
      <c r="C63" s="6" t="s">
        <v>475</v>
      </c>
      <c r="D63" s="6" t="s">
        <v>161</v>
      </c>
      <c r="E63" s="6" t="s">
        <v>55</v>
      </c>
      <c r="F63" s="6" t="s">
        <v>372</v>
      </c>
      <c r="G63" s="6" t="s">
        <v>373</v>
      </c>
      <c r="H63" s="9">
        <v>2499295</v>
      </c>
      <c r="I63" s="9">
        <v>2291995</v>
      </c>
      <c r="J63" s="10">
        <v>9.0399999999999994E-2</v>
      </c>
      <c r="K63" s="11">
        <v>62</v>
      </c>
      <c r="L63" s="6" t="s">
        <v>263</v>
      </c>
    </row>
    <row r="64" spans="1:12" ht="42">
      <c r="A64" s="6" t="s">
        <v>476</v>
      </c>
      <c r="B64" s="6" t="s">
        <v>477</v>
      </c>
      <c r="C64" s="6" t="s">
        <v>478</v>
      </c>
      <c r="D64" s="6" t="s">
        <v>479</v>
      </c>
      <c r="E64" s="6" t="s">
        <v>55</v>
      </c>
      <c r="F64" s="6" t="s">
        <v>366</v>
      </c>
      <c r="G64" s="6" t="s">
        <v>367</v>
      </c>
      <c r="H64" s="9">
        <v>2475370</v>
      </c>
      <c r="I64" s="9">
        <v>2369164</v>
      </c>
      <c r="J64" s="10">
        <v>4.48E-2</v>
      </c>
      <c r="K64" s="11">
        <v>63</v>
      </c>
      <c r="L64" s="6" t="s">
        <v>263</v>
      </c>
    </row>
  </sheetData>
  <conditionalFormatting sqref="E2:E64">
    <cfRule type="expression" dxfId="24" priority="1">
      <formula>E2="Large"</formula>
    </cfRule>
    <cfRule type="expression" dxfId="23" priority="2">
      <formula>E2="Medium"</formula>
    </cfRule>
  </conditionalFormatting>
  <conditionalFormatting sqref="J2:J64">
    <cfRule type="cellIs" dxfId="22" priority="3" operator="lessThan">
      <formula>0</formula>
    </cfRule>
    <cfRule type="cellIs" dxfId="21" priority="4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6"/>
  <sheetViews>
    <sheetView workbookViewId="0"/>
  </sheetViews>
  <sheetFormatPr defaultRowHeight="14"/>
  <cols>
    <col min="1" max="1" width="12" customWidth="1"/>
    <col min="2" max="2" width="38" customWidth="1"/>
    <col min="3" max="3" width="11" customWidth="1"/>
    <col min="4" max="4" width="14" customWidth="1"/>
    <col min="5" max="14" width="18" customWidth="1"/>
    <col min="15" max="19" width="20" customWidth="1"/>
    <col min="20" max="20" width="30" customWidth="1"/>
    <col min="21" max="21" width="64" customWidth="1"/>
  </cols>
  <sheetData>
    <row r="1" spans="1:21" ht="28">
      <c r="A1" s="13" t="s">
        <v>0</v>
      </c>
      <c r="B1" s="13" t="s">
        <v>1</v>
      </c>
      <c r="C1" s="13" t="s">
        <v>4</v>
      </c>
      <c r="D1" s="13" t="s">
        <v>480</v>
      </c>
      <c r="E1" s="13" t="s">
        <v>6</v>
      </c>
      <c r="F1" s="13" t="s">
        <v>7</v>
      </c>
      <c r="G1" s="13" t="s">
        <v>18</v>
      </c>
      <c r="H1" s="13" t="s">
        <v>19</v>
      </c>
      <c r="I1" s="13" t="s">
        <v>481</v>
      </c>
      <c r="J1" s="13" t="s">
        <v>482</v>
      </c>
      <c r="K1" s="13" t="s">
        <v>483</v>
      </c>
      <c r="L1" s="13" t="s">
        <v>484</v>
      </c>
      <c r="M1" s="13" t="s">
        <v>485</v>
      </c>
      <c r="N1" s="13" t="s">
        <v>486</v>
      </c>
      <c r="O1" s="13" t="s">
        <v>487</v>
      </c>
      <c r="P1" s="13" t="s">
        <v>488</v>
      </c>
      <c r="Q1" s="13" t="s">
        <v>489</v>
      </c>
      <c r="R1" s="13" t="s">
        <v>490</v>
      </c>
      <c r="S1" s="13" t="s">
        <v>491</v>
      </c>
      <c r="T1" s="13" t="s">
        <v>492</v>
      </c>
      <c r="U1" s="13" t="s">
        <v>493</v>
      </c>
    </row>
    <row r="2" spans="1:21" ht="28">
      <c r="A2" s="6" t="s">
        <v>27</v>
      </c>
      <c r="B2" s="6" t="s">
        <v>28</v>
      </c>
      <c r="C2" s="6" t="s">
        <v>31</v>
      </c>
      <c r="D2" s="6" t="s">
        <v>494</v>
      </c>
      <c r="E2" s="6" t="s">
        <v>270</v>
      </c>
      <c r="F2" s="6" t="s">
        <v>270</v>
      </c>
      <c r="G2" s="6" t="s">
        <v>270</v>
      </c>
      <c r="H2" s="6" t="s">
        <v>270</v>
      </c>
      <c r="I2" s="6" t="s">
        <v>270</v>
      </c>
      <c r="J2" s="6" t="s">
        <v>270</v>
      </c>
      <c r="K2" s="6" t="s">
        <v>270</v>
      </c>
      <c r="L2" s="6" t="s">
        <v>270</v>
      </c>
      <c r="M2" s="6" t="s">
        <v>270</v>
      </c>
      <c r="N2" s="6" t="s">
        <v>270</v>
      </c>
      <c r="O2" s="6" t="s">
        <v>495</v>
      </c>
      <c r="P2" s="6" t="s">
        <v>495</v>
      </c>
      <c r="Q2" s="6" t="s">
        <v>495</v>
      </c>
      <c r="R2" s="6" t="s">
        <v>495</v>
      </c>
      <c r="S2" s="6" t="s">
        <v>495</v>
      </c>
      <c r="T2" s="6" t="s">
        <v>496</v>
      </c>
      <c r="U2" s="6" t="s">
        <v>497</v>
      </c>
    </row>
    <row r="3" spans="1:21" ht="28">
      <c r="A3" s="6" t="s">
        <v>36</v>
      </c>
      <c r="B3" s="6" t="s">
        <v>37</v>
      </c>
      <c r="C3" s="6" t="s">
        <v>31</v>
      </c>
      <c r="D3" s="6" t="s">
        <v>494</v>
      </c>
      <c r="E3" s="6" t="s">
        <v>270</v>
      </c>
      <c r="F3" s="6" t="s">
        <v>270</v>
      </c>
      <c r="G3" s="6" t="s">
        <v>270</v>
      </c>
      <c r="H3" s="6" t="s">
        <v>270</v>
      </c>
      <c r="I3" s="6" t="s">
        <v>270</v>
      </c>
      <c r="J3" s="6" t="s">
        <v>270</v>
      </c>
      <c r="K3" s="6" t="s">
        <v>270</v>
      </c>
      <c r="L3" s="6" t="s">
        <v>270</v>
      </c>
      <c r="M3" s="6" t="s">
        <v>270</v>
      </c>
      <c r="N3" s="6" t="s">
        <v>270</v>
      </c>
      <c r="O3" s="6" t="s">
        <v>495</v>
      </c>
      <c r="P3" s="6" t="s">
        <v>495</v>
      </c>
      <c r="Q3" s="6" t="s">
        <v>495</v>
      </c>
      <c r="R3" s="6" t="s">
        <v>495</v>
      </c>
      <c r="S3" s="6" t="s">
        <v>495</v>
      </c>
      <c r="T3" s="6" t="s">
        <v>496</v>
      </c>
      <c r="U3" s="6" t="s">
        <v>497</v>
      </c>
    </row>
    <row r="4" spans="1:21" ht="28">
      <c r="A4" s="6" t="s">
        <v>41</v>
      </c>
      <c r="B4" s="6" t="s">
        <v>42</v>
      </c>
      <c r="C4" s="6" t="s">
        <v>31</v>
      </c>
      <c r="D4" s="6" t="s">
        <v>494</v>
      </c>
      <c r="E4" s="6" t="s">
        <v>270</v>
      </c>
      <c r="F4" s="6" t="s">
        <v>270</v>
      </c>
      <c r="G4" s="6" t="s">
        <v>270</v>
      </c>
      <c r="H4" s="6" t="s">
        <v>270</v>
      </c>
      <c r="I4" s="6" t="s">
        <v>270</v>
      </c>
      <c r="J4" s="6" t="s">
        <v>270</v>
      </c>
      <c r="K4" s="6" t="s">
        <v>270</v>
      </c>
      <c r="L4" s="6" t="s">
        <v>270</v>
      </c>
      <c r="M4" s="6" t="s">
        <v>270</v>
      </c>
      <c r="N4" s="6" t="s">
        <v>270</v>
      </c>
      <c r="O4" s="6" t="s">
        <v>495</v>
      </c>
      <c r="P4" s="6" t="s">
        <v>495</v>
      </c>
      <c r="Q4" s="6" t="s">
        <v>495</v>
      </c>
      <c r="R4" s="6" t="s">
        <v>495</v>
      </c>
      <c r="S4" s="6" t="s">
        <v>495</v>
      </c>
      <c r="T4" s="6" t="s">
        <v>496</v>
      </c>
      <c r="U4" s="6" t="s">
        <v>497</v>
      </c>
    </row>
    <row r="5" spans="1:21" ht="28">
      <c r="A5" s="6" t="s">
        <v>46</v>
      </c>
      <c r="B5" s="6" t="s">
        <v>47</v>
      </c>
      <c r="C5" s="6" t="s">
        <v>31</v>
      </c>
      <c r="D5" s="6" t="s">
        <v>494</v>
      </c>
      <c r="E5" s="6" t="s">
        <v>270</v>
      </c>
      <c r="F5" s="6" t="s">
        <v>270</v>
      </c>
      <c r="G5" s="6" t="s">
        <v>270</v>
      </c>
      <c r="H5" s="6" t="s">
        <v>270</v>
      </c>
      <c r="I5" s="6" t="s">
        <v>270</v>
      </c>
      <c r="J5" s="6" t="s">
        <v>270</v>
      </c>
      <c r="K5" s="6" t="s">
        <v>270</v>
      </c>
      <c r="L5" s="6" t="s">
        <v>270</v>
      </c>
      <c r="M5" s="6" t="s">
        <v>270</v>
      </c>
      <c r="N5" s="6" t="s">
        <v>270</v>
      </c>
      <c r="O5" s="6" t="s">
        <v>495</v>
      </c>
      <c r="P5" s="6" t="s">
        <v>495</v>
      </c>
      <c r="Q5" s="6" t="s">
        <v>495</v>
      </c>
      <c r="R5" s="6" t="s">
        <v>495</v>
      </c>
      <c r="S5" s="6" t="s">
        <v>495</v>
      </c>
      <c r="T5" s="6" t="s">
        <v>496</v>
      </c>
      <c r="U5" s="6" t="s">
        <v>497</v>
      </c>
    </row>
    <row r="6" spans="1:21" ht="28">
      <c r="A6" s="6" t="s">
        <v>51</v>
      </c>
      <c r="B6" s="6" t="s">
        <v>52</v>
      </c>
      <c r="C6" s="6" t="s">
        <v>55</v>
      </c>
      <c r="D6" s="6" t="s">
        <v>494</v>
      </c>
      <c r="E6" s="6" t="s">
        <v>270</v>
      </c>
      <c r="F6" s="6" t="s">
        <v>270</v>
      </c>
      <c r="G6" s="6" t="s">
        <v>270</v>
      </c>
      <c r="H6" s="6" t="s">
        <v>270</v>
      </c>
      <c r="I6" s="6" t="s">
        <v>270</v>
      </c>
      <c r="J6" s="6" t="s">
        <v>270</v>
      </c>
      <c r="K6" s="6" t="s">
        <v>270</v>
      </c>
      <c r="L6" s="6" t="s">
        <v>270</v>
      </c>
      <c r="M6" s="6" t="s">
        <v>270</v>
      </c>
      <c r="N6" s="6" t="s">
        <v>270</v>
      </c>
      <c r="O6" s="6" t="s">
        <v>495</v>
      </c>
      <c r="P6" s="6" t="s">
        <v>495</v>
      </c>
      <c r="Q6" s="6" t="s">
        <v>495</v>
      </c>
      <c r="R6" s="6" t="s">
        <v>495</v>
      </c>
      <c r="S6" s="6" t="s">
        <v>495</v>
      </c>
      <c r="T6" s="6" t="s">
        <v>496</v>
      </c>
      <c r="U6" s="6" t="s">
        <v>497</v>
      </c>
    </row>
  </sheetData>
  <conditionalFormatting sqref="E2:S6">
    <cfRule type="expression" dxfId="20" priority="1">
      <formula>E2="Complete"</formula>
    </cfRule>
    <cfRule type="expression" dxfId="19" priority="2">
      <formula>E2="Pending direct FAA"</formula>
    </cfRule>
  </conditionalFormatting>
  <conditionalFormatting sqref="T2:T6">
    <cfRule type="expression" dxfId="18" priority="3">
      <formula>LEFT(T2,4)="PASS"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78"/>
  <sheetViews>
    <sheetView workbookViewId="0"/>
  </sheetViews>
  <sheetFormatPr defaultRowHeight="14"/>
  <cols>
    <col min="1" max="1" width="16" customWidth="1"/>
    <col min="2" max="2" width="38" customWidth="1"/>
    <col min="3" max="4" width="30" customWidth="1"/>
    <col min="5" max="5" width="38" customWidth="1"/>
    <col min="6" max="6" width="28" customWidth="1"/>
    <col min="7" max="9" width="16" customWidth="1"/>
    <col min="10" max="10" width="24" customWidth="1"/>
    <col min="11" max="11" width="42" customWidth="1"/>
    <col min="12" max="12" width="11" customWidth="1"/>
    <col min="13" max="13" width="28" customWidth="1"/>
    <col min="14" max="14" width="44" customWidth="1"/>
    <col min="15" max="17" width="18" customWidth="1"/>
    <col min="18" max="19" width="20" customWidth="1"/>
    <col min="20" max="20" width="31" customWidth="1"/>
  </cols>
  <sheetData>
    <row r="1" spans="1:20" ht="17.399999999999999" customHeight="1">
      <c r="A1" s="47" t="s">
        <v>498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</row>
    <row r="2" spans="1:20" ht="24" customHeight="1">
      <c r="A2" s="48" t="s">
        <v>499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</row>
    <row r="3" spans="1:20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ht="28">
      <c r="A4" s="19" t="s">
        <v>500</v>
      </c>
      <c r="B4" s="20" t="s">
        <v>501</v>
      </c>
      <c r="C4" s="20" t="s">
        <v>502</v>
      </c>
      <c r="D4" s="20" t="s">
        <v>503</v>
      </c>
      <c r="E4" s="20" t="s">
        <v>504</v>
      </c>
      <c r="F4" s="20" t="s">
        <v>505</v>
      </c>
      <c r="G4" s="20" t="s">
        <v>506</v>
      </c>
      <c r="H4" s="21" t="s">
        <v>507</v>
      </c>
      <c r="I4" s="6"/>
      <c r="J4" s="22" t="s">
        <v>508</v>
      </c>
      <c r="K4" s="22" t="s">
        <v>509</v>
      </c>
      <c r="L4" s="22" t="s">
        <v>510</v>
      </c>
      <c r="M4" s="22" t="s">
        <v>511</v>
      </c>
      <c r="N4" s="22" t="s">
        <v>512</v>
      </c>
      <c r="O4" s="6"/>
      <c r="P4" s="6"/>
      <c r="Q4" s="6"/>
      <c r="R4" s="6"/>
      <c r="S4" s="6"/>
      <c r="T4" s="6"/>
    </row>
    <row r="5" spans="1:20" ht="28.5">
      <c r="A5" s="26">
        <f>COUNTA(Airport_Master!$A$2:$A$64)</f>
        <v>63</v>
      </c>
      <c r="B5" s="27">
        <f>COUNTIF($D$9:$D$71,"&gt;0")</f>
        <v>33</v>
      </c>
      <c r="C5" s="27">
        <f>COUNTIF($D$9:$D$71,6)</f>
        <v>33</v>
      </c>
      <c r="D5" s="27">
        <f>COUNTIF($R$9:$R$71,"&gt;=0.9")</f>
        <v>33</v>
      </c>
      <c r="E5" s="27">
        <f>COUNTIFS($R$9:$R$71,"&gt;=0.8",$R$9:$R$71,"&lt;0.9")</f>
        <v>0</v>
      </c>
      <c r="F5" s="27">
        <f>COUNTIFS($R$9:$R$71,"&gt;=0.7",$R$9:$R$71,"&lt;0.8")</f>
        <v>0</v>
      </c>
      <c r="G5" s="27">
        <f>COUNTIFS($D$9:$D$71,"&gt;0",$R$9:$R$71,"&lt;0.7")</f>
        <v>0</v>
      </c>
      <c r="H5" s="28">
        <f>COUNTIFS($D$9:$D$71,"&gt;0",$S$9:$S$71,"&lt;1")</f>
        <v>33</v>
      </c>
      <c r="I5" s="6"/>
      <c r="J5" s="6" t="s">
        <v>279</v>
      </c>
      <c r="K5" s="6" t="s">
        <v>513</v>
      </c>
      <c r="L5" s="23">
        <v>0.6</v>
      </c>
      <c r="M5" s="6" t="s">
        <v>514</v>
      </c>
      <c r="N5" s="6" t="s">
        <v>515</v>
      </c>
      <c r="O5" s="6"/>
      <c r="P5" s="6"/>
      <c r="Q5" s="6"/>
      <c r="R5" s="6"/>
      <c r="S5" s="6"/>
      <c r="T5" s="6"/>
    </row>
    <row r="6" spans="1:20" ht="28">
      <c r="A6" s="6"/>
      <c r="B6" s="6"/>
      <c r="C6" s="6"/>
      <c r="D6" s="6"/>
      <c r="E6" s="6"/>
      <c r="F6" s="6"/>
      <c r="G6" s="6"/>
      <c r="H6" s="6"/>
      <c r="I6" s="6"/>
      <c r="J6" s="6" t="s">
        <v>283</v>
      </c>
      <c r="K6" s="6" t="s">
        <v>516</v>
      </c>
      <c r="L6" s="23">
        <v>0.4</v>
      </c>
      <c r="M6" s="6" t="s">
        <v>517</v>
      </c>
      <c r="N6" s="6" t="s">
        <v>518</v>
      </c>
      <c r="O6" s="6"/>
      <c r="P6" s="6"/>
      <c r="Q6" s="6"/>
      <c r="R6" s="6"/>
      <c r="S6" s="6"/>
      <c r="T6" s="6"/>
    </row>
    <row r="7" spans="1:20" ht="28">
      <c r="A7" s="6"/>
      <c r="B7" s="6"/>
      <c r="C7" s="6"/>
      <c r="D7" s="6"/>
      <c r="E7" s="6"/>
      <c r="F7" s="6"/>
      <c r="G7" s="6"/>
      <c r="H7" s="6"/>
      <c r="I7" s="6"/>
      <c r="J7" s="6" t="s">
        <v>519</v>
      </c>
      <c r="K7" s="6" t="s">
        <v>305</v>
      </c>
      <c r="L7" s="6"/>
      <c r="M7" s="6" t="s">
        <v>520</v>
      </c>
      <c r="N7" s="6" t="s">
        <v>521</v>
      </c>
      <c r="O7" s="6"/>
      <c r="P7" s="6"/>
      <c r="Q7" s="6"/>
      <c r="R7" s="6"/>
      <c r="S7" s="6"/>
      <c r="T7" s="6"/>
    </row>
    <row r="8" spans="1:20" ht="28">
      <c r="A8" s="25" t="s">
        <v>0</v>
      </c>
      <c r="B8" s="25" t="s">
        <v>1</v>
      </c>
      <c r="C8" s="25" t="s">
        <v>4</v>
      </c>
      <c r="D8" s="25" t="s">
        <v>480</v>
      </c>
      <c r="E8" s="25" t="s">
        <v>522</v>
      </c>
      <c r="F8" s="25" t="s">
        <v>523</v>
      </c>
      <c r="G8" s="25" t="s">
        <v>524</v>
      </c>
      <c r="H8" s="25" t="s">
        <v>525</v>
      </c>
      <c r="I8" s="25" t="s">
        <v>526</v>
      </c>
      <c r="J8" s="25" t="s">
        <v>527</v>
      </c>
      <c r="K8" s="25" t="s">
        <v>528</v>
      </c>
      <c r="L8" s="25" t="s">
        <v>529</v>
      </c>
      <c r="M8" s="25" t="s">
        <v>530</v>
      </c>
      <c r="N8" s="25" t="s">
        <v>531</v>
      </c>
      <c r="O8" s="25" t="s">
        <v>532</v>
      </c>
      <c r="P8" s="25" t="s">
        <v>533</v>
      </c>
      <c r="Q8" s="25" t="s">
        <v>534</v>
      </c>
      <c r="R8" s="25" t="s">
        <v>535</v>
      </c>
      <c r="S8" s="25" t="s">
        <v>536</v>
      </c>
      <c r="T8" s="25" t="s">
        <v>537</v>
      </c>
    </row>
    <row r="9" spans="1:20">
      <c r="A9" s="14" t="str">
        <f>Airport_Master!A2</f>
        <v>ATL</v>
      </c>
      <c r="B9" s="14" t="str">
        <f>Airport_Master!B2</f>
        <v>Hartsfield/Jackson Atlanta International</v>
      </c>
      <c r="C9" s="14" t="str">
        <f>Airport_Master!E2</f>
        <v>Large</v>
      </c>
      <c r="D9" s="14">
        <f>COUNTIFS(Form127_Raw!$A$2:$A$1000,$A9,Form127_Raw!$F$2:$F$1000,"&gt;=2019",Form127_Raw!$F$2:$F$1000,"&lt;=2024")</f>
        <v>6</v>
      </c>
      <c r="E9" s="29">
        <f t="shared" ref="E9:E40" si="0">D9/6</f>
        <v>1</v>
      </c>
      <c r="F9" s="14">
        <f>COUNTIFS(Form127_Raw!$A$2:$A$1000,$A9,Form127_Raw!$F$2:$F$1000,"&gt;=2019",Form127_Raw!$F$2:$F$1000,"&lt;=2024",Form127_Raw!$G$2:$G$1000,"&lt;&gt;")</f>
        <v>6</v>
      </c>
      <c r="G9" s="14">
        <f>COUNTIFS(Form127_Raw!$A$2:$A$1000,$A9,Form127_Raw!$F$2:$F$1000,"&gt;=2019",Form127_Raw!$F$2:$F$1000,"&lt;=2024",Form127_Raw!$H$2:$H$1000,"&lt;&gt;")</f>
        <v>6</v>
      </c>
      <c r="H9" s="14">
        <f>COUNTIFS(Form127_Raw!$A$2:$A$1000,$A9,Form127_Raw!$F$2:$F$1000,"&gt;=2019",Form127_Raw!$F$2:$F$1000,"&lt;=2024",Form127_Raw!$S$2:$S$1000,"&lt;&gt;")</f>
        <v>6</v>
      </c>
      <c r="I9" s="14">
        <f>COUNTIFS(Form127_Raw!$A$2:$A$1000,$A9,Form127_Raw!$F$2:$F$1000,"&gt;=2019",Form127_Raw!$F$2:$F$1000,"&lt;=2024",Form127_Raw!$T$2:$T$1000,"&lt;&gt;")</f>
        <v>6</v>
      </c>
      <c r="J9" s="14">
        <f>COUNTIFS(Form127_Raw!$A$2:$A$1000,$A9,Form127_Raw!$F$2:$F$1000,"&gt;=2019",Form127_Raw!$F$2:$F$1000,"&lt;=2024",Form127_Raw!$N$2:$N$1000,"&lt;&gt;")</f>
        <v>6</v>
      </c>
      <c r="K9" s="14">
        <f>COUNTIFS(Form127_Raw!$A$2:$A$1000,$A9,Form127_Raw!$F$2:$F$1000,"&gt;=2019",Form127_Raw!$F$2:$F$1000,"&lt;=2024",Form127_Raw!$M$2:$M$1000,"&lt;&gt;")</f>
        <v>6</v>
      </c>
      <c r="L9" s="14">
        <f>COUNTIFS(Form127_Raw!$A$2:$A$1000,$A9,Form127_Raw!$F$2:$F$1000,"&gt;=2019",Form127_Raw!$F$2:$F$1000,"&lt;=2024",Form127_Raw!$K$2:$K$1000,"&lt;&gt;")</f>
        <v>6</v>
      </c>
      <c r="M9" s="14">
        <f>COUNTIFS(Form127_Raw!$A$2:$A$1000,$A9,Form127_Raw!$F$2:$F$1000,"&gt;=2019",Form127_Raw!$F$2:$F$1000,"&lt;=2024",Form127_Raw!$L$2:$L$1000,"&lt;&gt;")</f>
        <v>6</v>
      </c>
      <c r="N9" s="14">
        <f>COUNTIFS(Form127_Raw!$A$2:$A$1000,$A9,Form127_Raw!$F$2:$F$1000,"&gt;=2019",Form127_Raw!$F$2:$F$1000,"&lt;=2024",Form127_Raw!$P$2:$P$1000,"&lt;&gt;")</f>
        <v>6</v>
      </c>
      <c r="O9" s="29">
        <f t="shared" ref="O9:O40" si="1">SUM(F9:I9)/24</f>
        <v>1</v>
      </c>
      <c r="P9" s="29">
        <f t="shared" ref="P9:P40" si="2">SUM(J9:N9)/30</f>
        <v>1</v>
      </c>
      <c r="Q9" s="14">
        <f>COUNTIFS(Form127_Raw!$A$2:$A$1000,$A9,Form127_Raw!$F$2:$F$1000,"&gt;=2019",Form127_Raw!$F$2:$F$1000,"&lt;=2024",Form127_Raw!$N$2:$N$1000,0)+COUNTIFS(Form127_Raw!$A$2:$A$1000,$A9,Form127_Raw!$F$2:$F$1000,"&gt;=2019",Form127_Raw!$F$2:$F$1000,"&lt;=2024",Form127_Raw!$M$2:$M$1000,0)+COUNTIFS(Form127_Raw!$A$2:$A$1000,$A9,Form127_Raw!$F$2:$F$1000,"&gt;=2019",Form127_Raw!$F$2:$F$1000,"&lt;=2024",Form127_Raw!$K$2:$K$1000,0)+COUNTIFS(Form127_Raw!$A$2:$A$1000,$A9,Form127_Raw!$F$2:$F$1000,"&gt;=2019",Form127_Raw!$F$2:$F$1000,"&lt;=2024",Form127_Raw!$L$2:$L$1000,0)+COUNTIFS(Form127_Raw!$A$2:$A$1000,$A9,Form127_Raw!$F$2:$F$1000,"&gt;=2019",Form127_Raw!$F$2:$F$1000,"&lt;=2024",Form127_Raw!$P$2:$P$1000,0)</f>
        <v>0</v>
      </c>
      <c r="R9" s="29">
        <f t="shared" ref="R9:R40" si="3">O9*0.6+P9*0.4</f>
        <v>1</v>
      </c>
      <c r="S9" s="29">
        <f>(COUNTIFS(Form127_Raw!$A$2:$A$1000,$A9,Form127_Raw!$F$2:$F$1000,"&gt;=2019",Form127_Raw!$F$2:$F$1000,"&lt;=2024",Form127_Raw!$I$2:$I$1000,"&lt;&gt;")+COUNTIFS(Form127_Raw!$A$2:$A$1000,$A9,Form127_Raw!$F$2:$F$1000,"&gt;=2019",Form127_Raw!$F$2:$F$1000,"&lt;=2024",Form127_Raw!$J$2:$J$1000,"&lt;&gt;")+COUNTIFS(Form127_Raw!$A$2:$A$1000,$A9,Form127_Raw!$F$2:$F$1000,"&gt;=2019",Form127_Raw!$F$2:$F$1000,"&lt;=2024",Form127_Raw!$O$2:$O$1000,"&lt;&gt;")+COUNTIFS(Form127_Raw!$A$2:$A$1000,$A9,Form127_Raw!$F$2:$F$1000,"&gt;=2019",Form127_Raw!$F$2:$F$1000,"&lt;=2024",Form127_Raw!$Q$2:$Q$1000,"&lt;&gt;")+COUNTIFS(Form127_Raw!$A$2:$A$1000,$A9,Form127_Raw!$F$2:$F$1000,"&gt;=2019",Form127_Raw!$F$2:$F$1000,"&lt;=2024",Form127_Raw!$R$2:$R$1000,"&lt;&gt;"))/30</f>
        <v>0</v>
      </c>
      <c r="T9" s="14" t="str">
        <f t="shared" ref="T9:T40" si="4">IF(D9=0,"Not Loaded",IF(R9&gt;=0.9,IF(S9=1,"Ready for Final Selection","Excellent - FAA Backfill Pending"),IF(R9&gt;=0.8,"Good - Review Missing Fields",IF(R9&gt;=0.7,"Manual Review","Exclude / Incomplete"))))</f>
        <v>Excellent - FAA Backfill Pending</v>
      </c>
    </row>
    <row r="10" spans="1:20">
      <c r="A10" s="14" t="str">
        <f>Airport_Master!A3</f>
        <v>DFW</v>
      </c>
      <c r="B10" s="14" t="str">
        <f>Airport_Master!B3</f>
        <v>Dallas-Fort Worth International</v>
      </c>
      <c r="C10" s="14" t="str">
        <f>Airport_Master!E3</f>
        <v>Large</v>
      </c>
      <c r="D10" s="14">
        <f>COUNTIFS(Form127_Raw!$A$2:$A$1000,$A10,Form127_Raw!$F$2:$F$1000,"&gt;=2019",Form127_Raw!$F$2:$F$1000,"&lt;=2024")</f>
        <v>6</v>
      </c>
      <c r="E10" s="29">
        <f t="shared" si="0"/>
        <v>1</v>
      </c>
      <c r="F10" s="14">
        <f>COUNTIFS(Form127_Raw!$A$2:$A$1000,$A10,Form127_Raw!$F$2:$F$1000,"&gt;=2019",Form127_Raw!$F$2:$F$1000,"&lt;=2024",Form127_Raw!$G$2:$G$1000,"&lt;&gt;")</f>
        <v>6</v>
      </c>
      <c r="G10" s="14">
        <f>COUNTIFS(Form127_Raw!$A$2:$A$1000,$A10,Form127_Raw!$F$2:$F$1000,"&gt;=2019",Form127_Raw!$F$2:$F$1000,"&lt;=2024",Form127_Raw!$H$2:$H$1000,"&lt;&gt;")</f>
        <v>6</v>
      </c>
      <c r="H10" s="14">
        <f>COUNTIFS(Form127_Raw!$A$2:$A$1000,$A10,Form127_Raw!$F$2:$F$1000,"&gt;=2019",Form127_Raw!$F$2:$F$1000,"&lt;=2024",Form127_Raw!$S$2:$S$1000,"&lt;&gt;")</f>
        <v>6</v>
      </c>
      <c r="I10" s="14">
        <f>COUNTIFS(Form127_Raw!$A$2:$A$1000,$A10,Form127_Raw!$F$2:$F$1000,"&gt;=2019",Form127_Raw!$F$2:$F$1000,"&lt;=2024",Form127_Raw!$T$2:$T$1000,"&lt;&gt;")</f>
        <v>6</v>
      </c>
      <c r="J10" s="14">
        <f>COUNTIFS(Form127_Raw!$A$2:$A$1000,$A10,Form127_Raw!$F$2:$F$1000,"&gt;=2019",Form127_Raw!$F$2:$F$1000,"&lt;=2024",Form127_Raw!$N$2:$N$1000,"&lt;&gt;")</f>
        <v>6</v>
      </c>
      <c r="K10" s="14">
        <f>COUNTIFS(Form127_Raw!$A$2:$A$1000,$A10,Form127_Raw!$F$2:$F$1000,"&gt;=2019",Form127_Raw!$F$2:$F$1000,"&lt;=2024",Form127_Raw!$M$2:$M$1000,"&lt;&gt;")</f>
        <v>6</v>
      </c>
      <c r="L10" s="14">
        <f>COUNTIFS(Form127_Raw!$A$2:$A$1000,$A10,Form127_Raw!$F$2:$F$1000,"&gt;=2019",Form127_Raw!$F$2:$F$1000,"&lt;=2024",Form127_Raw!$K$2:$K$1000,"&lt;&gt;")</f>
        <v>6</v>
      </c>
      <c r="M10" s="14">
        <f>COUNTIFS(Form127_Raw!$A$2:$A$1000,$A10,Form127_Raw!$F$2:$F$1000,"&gt;=2019",Form127_Raw!$F$2:$F$1000,"&lt;=2024",Form127_Raw!$L$2:$L$1000,"&lt;&gt;")</f>
        <v>6</v>
      </c>
      <c r="N10" s="14">
        <f>COUNTIFS(Form127_Raw!$A$2:$A$1000,$A10,Form127_Raw!$F$2:$F$1000,"&gt;=2019",Form127_Raw!$F$2:$F$1000,"&lt;=2024",Form127_Raw!$P$2:$P$1000,"&lt;&gt;")</f>
        <v>6</v>
      </c>
      <c r="O10" s="29">
        <f t="shared" si="1"/>
        <v>1</v>
      </c>
      <c r="P10" s="29">
        <f t="shared" si="2"/>
        <v>1</v>
      </c>
      <c r="Q10" s="14">
        <f>COUNTIFS(Form127_Raw!$A$2:$A$1000,$A10,Form127_Raw!$F$2:$F$1000,"&gt;=2019",Form127_Raw!$F$2:$F$1000,"&lt;=2024",Form127_Raw!$N$2:$N$1000,0)+COUNTIFS(Form127_Raw!$A$2:$A$1000,$A10,Form127_Raw!$F$2:$F$1000,"&gt;=2019",Form127_Raw!$F$2:$F$1000,"&lt;=2024",Form127_Raw!$M$2:$M$1000,0)+COUNTIFS(Form127_Raw!$A$2:$A$1000,$A10,Form127_Raw!$F$2:$F$1000,"&gt;=2019",Form127_Raw!$F$2:$F$1000,"&lt;=2024",Form127_Raw!$K$2:$K$1000,0)+COUNTIFS(Form127_Raw!$A$2:$A$1000,$A10,Form127_Raw!$F$2:$F$1000,"&gt;=2019",Form127_Raw!$F$2:$F$1000,"&lt;=2024",Form127_Raw!$L$2:$L$1000,0)+COUNTIFS(Form127_Raw!$A$2:$A$1000,$A10,Form127_Raw!$F$2:$F$1000,"&gt;=2019",Form127_Raw!$F$2:$F$1000,"&lt;=2024",Form127_Raw!$P$2:$P$1000,0)</f>
        <v>0</v>
      </c>
      <c r="R10" s="29">
        <f t="shared" si="3"/>
        <v>1</v>
      </c>
      <c r="S10" s="29">
        <f>(COUNTIFS(Form127_Raw!$A$2:$A$1000,$A10,Form127_Raw!$F$2:$F$1000,"&gt;=2019",Form127_Raw!$F$2:$F$1000,"&lt;=2024",Form127_Raw!$I$2:$I$1000,"&lt;&gt;")+COUNTIFS(Form127_Raw!$A$2:$A$1000,$A10,Form127_Raw!$F$2:$F$1000,"&gt;=2019",Form127_Raw!$F$2:$F$1000,"&lt;=2024",Form127_Raw!$J$2:$J$1000,"&lt;&gt;")+COUNTIFS(Form127_Raw!$A$2:$A$1000,$A10,Form127_Raw!$F$2:$F$1000,"&gt;=2019",Form127_Raw!$F$2:$F$1000,"&lt;=2024",Form127_Raw!$O$2:$O$1000,"&lt;&gt;")+COUNTIFS(Form127_Raw!$A$2:$A$1000,$A10,Form127_Raw!$F$2:$F$1000,"&gt;=2019",Form127_Raw!$F$2:$F$1000,"&lt;=2024",Form127_Raw!$Q$2:$Q$1000,"&lt;&gt;")+COUNTIFS(Form127_Raw!$A$2:$A$1000,$A10,Form127_Raw!$F$2:$F$1000,"&gt;=2019",Form127_Raw!$F$2:$F$1000,"&lt;=2024",Form127_Raw!$R$2:$R$1000,"&lt;&gt;"))/30</f>
        <v>0</v>
      </c>
      <c r="T10" s="14" t="str">
        <f t="shared" si="4"/>
        <v>Excellent - FAA Backfill Pending</v>
      </c>
    </row>
    <row r="11" spans="1:20">
      <c r="A11" s="14" t="str">
        <f>Airport_Master!A4</f>
        <v>DEN</v>
      </c>
      <c r="B11" s="14" t="str">
        <f>Airport_Master!B4</f>
        <v>Denver International</v>
      </c>
      <c r="C11" s="14" t="str">
        <f>Airport_Master!E4</f>
        <v>Large</v>
      </c>
      <c r="D11" s="14">
        <f>COUNTIFS(Form127_Raw!$A$2:$A$1000,$A11,Form127_Raw!$F$2:$F$1000,"&gt;=2019",Form127_Raw!$F$2:$F$1000,"&lt;=2024")</f>
        <v>6</v>
      </c>
      <c r="E11" s="29">
        <f t="shared" si="0"/>
        <v>1</v>
      </c>
      <c r="F11" s="14">
        <f>COUNTIFS(Form127_Raw!$A$2:$A$1000,$A11,Form127_Raw!$F$2:$F$1000,"&gt;=2019",Form127_Raw!$F$2:$F$1000,"&lt;=2024",Form127_Raw!$G$2:$G$1000,"&lt;&gt;")</f>
        <v>6</v>
      </c>
      <c r="G11" s="14">
        <f>COUNTIFS(Form127_Raw!$A$2:$A$1000,$A11,Form127_Raw!$F$2:$F$1000,"&gt;=2019",Form127_Raw!$F$2:$F$1000,"&lt;=2024",Form127_Raw!$H$2:$H$1000,"&lt;&gt;")</f>
        <v>6</v>
      </c>
      <c r="H11" s="14">
        <f>COUNTIFS(Form127_Raw!$A$2:$A$1000,$A11,Form127_Raw!$F$2:$F$1000,"&gt;=2019",Form127_Raw!$F$2:$F$1000,"&lt;=2024",Form127_Raw!$S$2:$S$1000,"&lt;&gt;")</f>
        <v>6</v>
      </c>
      <c r="I11" s="14">
        <f>COUNTIFS(Form127_Raw!$A$2:$A$1000,$A11,Form127_Raw!$F$2:$F$1000,"&gt;=2019",Form127_Raw!$F$2:$F$1000,"&lt;=2024",Form127_Raw!$T$2:$T$1000,"&lt;&gt;")</f>
        <v>6</v>
      </c>
      <c r="J11" s="14">
        <f>COUNTIFS(Form127_Raw!$A$2:$A$1000,$A11,Form127_Raw!$F$2:$F$1000,"&gt;=2019",Form127_Raw!$F$2:$F$1000,"&lt;=2024",Form127_Raw!$N$2:$N$1000,"&lt;&gt;")</f>
        <v>6</v>
      </c>
      <c r="K11" s="14">
        <f>COUNTIFS(Form127_Raw!$A$2:$A$1000,$A11,Form127_Raw!$F$2:$F$1000,"&gt;=2019",Form127_Raw!$F$2:$F$1000,"&lt;=2024",Form127_Raw!$M$2:$M$1000,"&lt;&gt;")</f>
        <v>6</v>
      </c>
      <c r="L11" s="14">
        <f>COUNTIFS(Form127_Raw!$A$2:$A$1000,$A11,Form127_Raw!$F$2:$F$1000,"&gt;=2019",Form127_Raw!$F$2:$F$1000,"&lt;=2024",Form127_Raw!$K$2:$K$1000,"&lt;&gt;")</f>
        <v>6</v>
      </c>
      <c r="M11" s="14">
        <f>COUNTIFS(Form127_Raw!$A$2:$A$1000,$A11,Form127_Raw!$F$2:$F$1000,"&gt;=2019",Form127_Raw!$F$2:$F$1000,"&lt;=2024",Form127_Raw!$L$2:$L$1000,"&lt;&gt;")</f>
        <v>6</v>
      </c>
      <c r="N11" s="14">
        <f>COUNTIFS(Form127_Raw!$A$2:$A$1000,$A11,Form127_Raw!$F$2:$F$1000,"&gt;=2019",Form127_Raw!$F$2:$F$1000,"&lt;=2024",Form127_Raw!$P$2:$P$1000,"&lt;&gt;")</f>
        <v>6</v>
      </c>
      <c r="O11" s="29">
        <f t="shared" si="1"/>
        <v>1</v>
      </c>
      <c r="P11" s="29">
        <f t="shared" si="2"/>
        <v>1</v>
      </c>
      <c r="Q11" s="14">
        <f>COUNTIFS(Form127_Raw!$A$2:$A$1000,$A11,Form127_Raw!$F$2:$F$1000,"&gt;=2019",Form127_Raw!$F$2:$F$1000,"&lt;=2024",Form127_Raw!$N$2:$N$1000,0)+COUNTIFS(Form127_Raw!$A$2:$A$1000,$A11,Form127_Raw!$F$2:$F$1000,"&gt;=2019",Form127_Raw!$F$2:$F$1000,"&lt;=2024",Form127_Raw!$M$2:$M$1000,0)+COUNTIFS(Form127_Raw!$A$2:$A$1000,$A11,Form127_Raw!$F$2:$F$1000,"&gt;=2019",Form127_Raw!$F$2:$F$1000,"&lt;=2024",Form127_Raw!$K$2:$K$1000,0)+COUNTIFS(Form127_Raw!$A$2:$A$1000,$A11,Form127_Raw!$F$2:$F$1000,"&gt;=2019",Form127_Raw!$F$2:$F$1000,"&lt;=2024",Form127_Raw!$L$2:$L$1000,0)+COUNTIFS(Form127_Raw!$A$2:$A$1000,$A11,Form127_Raw!$F$2:$F$1000,"&gt;=2019",Form127_Raw!$F$2:$F$1000,"&lt;=2024",Form127_Raw!$P$2:$P$1000,0)</f>
        <v>0</v>
      </c>
      <c r="R11" s="29">
        <f t="shared" si="3"/>
        <v>1</v>
      </c>
      <c r="S11" s="29">
        <f>(COUNTIFS(Form127_Raw!$A$2:$A$1000,$A11,Form127_Raw!$F$2:$F$1000,"&gt;=2019",Form127_Raw!$F$2:$F$1000,"&lt;=2024",Form127_Raw!$I$2:$I$1000,"&lt;&gt;")+COUNTIFS(Form127_Raw!$A$2:$A$1000,$A11,Form127_Raw!$F$2:$F$1000,"&gt;=2019",Form127_Raw!$F$2:$F$1000,"&lt;=2024",Form127_Raw!$J$2:$J$1000,"&lt;&gt;")+COUNTIFS(Form127_Raw!$A$2:$A$1000,$A11,Form127_Raw!$F$2:$F$1000,"&gt;=2019",Form127_Raw!$F$2:$F$1000,"&lt;=2024",Form127_Raw!$O$2:$O$1000,"&lt;&gt;")+COUNTIFS(Form127_Raw!$A$2:$A$1000,$A11,Form127_Raw!$F$2:$F$1000,"&gt;=2019",Form127_Raw!$F$2:$F$1000,"&lt;=2024",Form127_Raw!$Q$2:$Q$1000,"&lt;&gt;")+COUNTIFS(Form127_Raw!$A$2:$A$1000,$A11,Form127_Raw!$F$2:$F$1000,"&gt;=2019",Form127_Raw!$F$2:$F$1000,"&lt;=2024",Form127_Raw!$R$2:$R$1000,"&lt;&gt;"))/30</f>
        <v>0</v>
      </c>
      <c r="T11" s="14" t="str">
        <f t="shared" si="4"/>
        <v>Excellent - FAA Backfill Pending</v>
      </c>
    </row>
    <row r="12" spans="1:20">
      <c r="A12" s="14" t="str">
        <f>Airport_Master!A5</f>
        <v>ORD</v>
      </c>
      <c r="B12" s="14" t="str">
        <f>Airport_Master!B5</f>
        <v>Chicago O'Hare International</v>
      </c>
      <c r="C12" s="14" t="str">
        <f>Airport_Master!E5</f>
        <v>Large</v>
      </c>
      <c r="D12" s="14">
        <f>COUNTIFS(Form127_Raw!$A$2:$A$1000,$A12,Form127_Raw!$F$2:$F$1000,"&gt;=2019",Form127_Raw!$F$2:$F$1000,"&lt;=2024")</f>
        <v>6</v>
      </c>
      <c r="E12" s="29">
        <f t="shared" si="0"/>
        <v>1</v>
      </c>
      <c r="F12" s="14">
        <f>COUNTIFS(Form127_Raw!$A$2:$A$1000,$A12,Form127_Raw!$F$2:$F$1000,"&gt;=2019",Form127_Raw!$F$2:$F$1000,"&lt;=2024",Form127_Raw!$G$2:$G$1000,"&lt;&gt;")</f>
        <v>6</v>
      </c>
      <c r="G12" s="14">
        <f>COUNTIFS(Form127_Raw!$A$2:$A$1000,$A12,Form127_Raw!$F$2:$F$1000,"&gt;=2019",Form127_Raw!$F$2:$F$1000,"&lt;=2024",Form127_Raw!$H$2:$H$1000,"&lt;&gt;")</f>
        <v>6</v>
      </c>
      <c r="H12" s="14">
        <f>COUNTIFS(Form127_Raw!$A$2:$A$1000,$A12,Form127_Raw!$F$2:$F$1000,"&gt;=2019",Form127_Raw!$F$2:$F$1000,"&lt;=2024",Form127_Raw!$S$2:$S$1000,"&lt;&gt;")</f>
        <v>6</v>
      </c>
      <c r="I12" s="14">
        <f>COUNTIFS(Form127_Raw!$A$2:$A$1000,$A12,Form127_Raw!$F$2:$F$1000,"&gt;=2019",Form127_Raw!$F$2:$F$1000,"&lt;=2024",Form127_Raw!$T$2:$T$1000,"&lt;&gt;")</f>
        <v>6</v>
      </c>
      <c r="J12" s="14">
        <f>COUNTIFS(Form127_Raw!$A$2:$A$1000,$A12,Form127_Raw!$F$2:$F$1000,"&gt;=2019",Form127_Raw!$F$2:$F$1000,"&lt;=2024",Form127_Raw!$N$2:$N$1000,"&lt;&gt;")</f>
        <v>6</v>
      </c>
      <c r="K12" s="14">
        <f>COUNTIFS(Form127_Raw!$A$2:$A$1000,$A12,Form127_Raw!$F$2:$F$1000,"&gt;=2019",Form127_Raw!$F$2:$F$1000,"&lt;=2024",Form127_Raw!$M$2:$M$1000,"&lt;&gt;")</f>
        <v>6</v>
      </c>
      <c r="L12" s="14">
        <f>COUNTIFS(Form127_Raw!$A$2:$A$1000,$A12,Form127_Raw!$F$2:$F$1000,"&gt;=2019",Form127_Raw!$F$2:$F$1000,"&lt;=2024",Form127_Raw!$K$2:$K$1000,"&lt;&gt;")</f>
        <v>6</v>
      </c>
      <c r="M12" s="14">
        <f>COUNTIFS(Form127_Raw!$A$2:$A$1000,$A12,Form127_Raw!$F$2:$F$1000,"&gt;=2019",Form127_Raw!$F$2:$F$1000,"&lt;=2024",Form127_Raw!$L$2:$L$1000,"&lt;&gt;")</f>
        <v>6</v>
      </c>
      <c r="N12" s="14">
        <f>COUNTIFS(Form127_Raw!$A$2:$A$1000,$A12,Form127_Raw!$F$2:$F$1000,"&gt;=2019",Form127_Raw!$F$2:$F$1000,"&lt;=2024",Form127_Raw!$P$2:$P$1000,"&lt;&gt;")</f>
        <v>6</v>
      </c>
      <c r="O12" s="29">
        <f t="shared" si="1"/>
        <v>1</v>
      </c>
      <c r="P12" s="29">
        <f t="shared" si="2"/>
        <v>1</v>
      </c>
      <c r="Q12" s="14">
        <f>COUNTIFS(Form127_Raw!$A$2:$A$1000,$A12,Form127_Raw!$F$2:$F$1000,"&gt;=2019",Form127_Raw!$F$2:$F$1000,"&lt;=2024",Form127_Raw!$N$2:$N$1000,0)+COUNTIFS(Form127_Raw!$A$2:$A$1000,$A12,Form127_Raw!$F$2:$F$1000,"&gt;=2019",Form127_Raw!$F$2:$F$1000,"&lt;=2024",Form127_Raw!$M$2:$M$1000,0)+COUNTIFS(Form127_Raw!$A$2:$A$1000,$A12,Form127_Raw!$F$2:$F$1000,"&gt;=2019",Form127_Raw!$F$2:$F$1000,"&lt;=2024",Form127_Raw!$K$2:$K$1000,0)+COUNTIFS(Form127_Raw!$A$2:$A$1000,$A12,Form127_Raw!$F$2:$F$1000,"&gt;=2019",Form127_Raw!$F$2:$F$1000,"&lt;=2024",Form127_Raw!$L$2:$L$1000,0)+COUNTIFS(Form127_Raw!$A$2:$A$1000,$A12,Form127_Raw!$F$2:$F$1000,"&gt;=2019",Form127_Raw!$F$2:$F$1000,"&lt;=2024",Form127_Raw!$P$2:$P$1000,0)</f>
        <v>0</v>
      </c>
      <c r="R12" s="29">
        <f t="shared" si="3"/>
        <v>1</v>
      </c>
      <c r="S12" s="29">
        <f>(COUNTIFS(Form127_Raw!$A$2:$A$1000,$A12,Form127_Raw!$F$2:$F$1000,"&gt;=2019",Form127_Raw!$F$2:$F$1000,"&lt;=2024",Form127_Raw!$I$2:$I$1000,"&lt;&gt;")+COUNTIFS(Form127_Raw!$A$2:$A$1000,$A12,Form127_Raw!$F$2:$F$1000,"&gt;=2019",Form127_Raw!$F$2:$F$1000,"&lt;=2024",Form127_Raw!$J$2:$J$1000,"&lt;&gt;")+COUNTIFS(Form127_Raw!$A$2:$A$1000,$A12,Form127_Raw!$F$2:$F$1000,"&gt;=2019",Form127_Raw!$F$2:$F$1000,"&lt;=2024",Form127_Raw!$O$2:$O$1000,"&lt;&gt;")+COUNTIFS(Form127_Raw!$A$2:$A$1000,$A12,Form127_Raw!$F$2:$F$1000,"&gt;=2019",Form127_Raw!$F$2:$F$1000,"&lt;=2024",Form127_Raw!$Q$2:$Q$1000,"&lt;&gt;")+COUNTIFS(Form127_Raw!$A$2:$A$1000,$A12,Form127_Raw!$F$2:$F$1000,"&gt;=2019",Form127_Raw!$F$2:$F$1000,"&lt;=2024",Form127_Raw!$R$2:$R$1000,"&lt;&gt;"))/30</f>
        <v>0</v>
      </c>
      <c r="T12" s="14" t="str">
        <f t="shared" si="4"/>
        <v>Excellent - FAA Backfill Pending</v>
      </c>
    </row>
    <row r="13" spans="1:20">
      <c r="A13" s="14" t="str">
        <f>Airport_Master!A6</f>
        <v>LAX</v>
      </c>
      <c r="B13" s="14" t="str">
        <f>Airport_Master!B6</f>
        <v>Los Angeles International</v>
      </c>
      <c r="C13" s="14" t="str">
        <f>Airport_Master!E6</f>
        <v>Large</v>
      </c>
      <c r="D13" s="14">
        <f>COUNTIFS(Form127_Raw!$A$2:$A$1000,$A13,Form127_Raw!$F$2:$F$1000,"&gt;=2019",Form127_Raw!$F$2:$F$1000,"&lt;=2024")</f>
        <v>6</v>
      </c>
      <c r="E13" s="29">
        <f t="shared" si="0"/>
        <v>1</v>
      </c>
      <c r="F13" s="14">
        <f>COUNTIFS(Form127_Raw!$A$2:$A$1000,$A13,Form127_Raw!$F$2:$F$1000,"&gt;=2019",Form127_Raw!$F$2:$F$1000,"&lt;=2024",Form127_Raw!$G$2:$G$1000,"&lt;&gt;")</f>
        <v>6</v>
      </c>
      <c r="G13" s="14">
        <f>COUNTIFS(Form127_Raw!$A$2:$A$1000,$A13,Form127_Raw!$F$2:$F$1000,"&gt;=2019",Form127_Raw!$F$2:$F$1000,"&lt;=2024",Form127_Raw!$H$2:$H$1000,"&lt;&gt;")</f>
        <v>6</v>
      </c>
      <c r="H13" s="14">
        <f>COUNTIFS(Form127_Raw!$A$2:$A$1000,$A13,Form127_Raw!$F$2:$F$1000,"&gt;=2019",Form127_Raw!$F$2:$F$1000,"&lt;=2024",Form127_Raw!$S$2:$S$1000,"&lt;&gt;")</f>
        <v>6</v>
      </c>
      <c r="I13" s="14">
        <f>COUNTIFS(Form127_Raw!$A$2:$A$1000,$A13,Form127_Raw!$F$2:$F$1000,"&gt;=2019",Form127_Raw!$F$2:$F$1000,"&lt;=2024",Form127_Raw!$T$2:$T$1000,"&lt;&gt;")</f>
        <v>6</v>
      </c>
      <c r="J13" s="14">
        <f>COUNTIFS(Form127_Raw!$A$2:$A$1000,$A13,Form127_Raw!$F$2:$F$1000,"&gt;=2019",Form127_Raw!$F$2:$F$1000,"&lt;=2024",Form127_Raw!$N$2:$N$1000,"&lt;&gt;")</f>
        <v>6</v>
      </c>
      <c r="K13" s="14">
        <f>COUNTIFS(Form127_Raw!$A$2:$A$1000,$A13,Form127_Raw!$F$2:$F$1000,"&gt;=2019",Form127_Raw!$F$2:$F$1000,"&lt;=2024",Form127_Raw!$M$2:$M$1000,"&lt;&gt;")</f>
        <v>6</v>
      </c>
      <c r="L13" s="14">
        <f>COUNTIFS(Form127_Raw!$A$2:$A$1000,$A13,Form127_Raw!$F$2:$F$1000,"&gt;=2019",Form127_Raw!$F$2:$F$1000,"&lt;=2024",Form127_Raw!$K$2:$K$1000,"&lt;&gt;")</f>
        <v>6</v>
      </c>
      <c r="M13" s="14">
        <f>COUNTIFS(Form127_Raw!$A$2:$A$1000,$A13,Form127_Raw!$F$2:$F$1000,"&gt;=2019",Form127_Raw!$F$2:$F$1000,"&lt;=2024",Form127_Raw!$L$2:$L$1000,"&lt;&gt;")</f>
        <v>6</v>
      </c>
      <c r="N13" s="14">
        <f>COUNTIFS(Form127_Raw!$A$2:$A$1000,$A13,Form127_Raw!$F$2:$F$1000,"&gt;=2019",Form127_Raw!$F$2:$F$1000,"&lt;=2024",Form127_Raw!$P$2:$P$1000,"&lt;&gt;")</f>
        <v>6</v>
      </c>
      <c r="O13" s="29">
        <f t="shared" si="1"/>
        <v>1</v>
      </c>
      <c r="P13" s="29">
        <f t="shared" si="2"/>
        <v>1</v>
      </c>
      <c r="Q13" s="14">
        <f>COUNTIFS(Form127_Raw!$A$2:$A$1000,$A13,Form127_Raw!$F$2:$F$1000,"&gt;=2019",Form127_Raw!$F$2:$F$1000,"&lt;=2024",Form127_Raw!$N$2:$N$1000,0)+COUNTIFS(Form127_Raw!$A$2:$A$1000,$A13,Form127_Raw!$F$2:$F$1000,"&gt;=2019",Form127_Raw!$F$2:$F$1000,"&lt;=2024",Form127_Raw!$M$2:$M$1000,0)+COUNTIFS(Form127_Raw!$A$2:$A$1000,$A13,Form127_Raw!$F$2:$F$1000,"&gt;=2019",Form127_Raw!$F$2:$F$1000,"&lt;=2024",Form127_Raw!$K$2:$K$1000,0)+COUNTIFS(Form127_Raw!$A$2:$A$1000,$A13,Form127_Raw!$F$2:$F$1000,"&gt;=2019",Form127_Raw!$F$2:$F$1000,"&lt;=2024",Form127_Raw!$L$2:$L$1000,0)+COUNTIFS(Form127_Raw!$A$2:$A$1000,$A13,Form127_Raw!$F$2:$F$1000,"&gt;=2019",Form127_Raw!$F$2:$F$1000,"&lt;=2024",Form127_Raw!$P$2:$P$1000,0)</f>
        <v>0</v>
      </c>
      <c r="R13" s="29">
        <f t="shared" si="3"/>
        <v>1</v>
      </c>
      <c r="S13" s="29">
        <f>(COUNTIFS(Form127_Raw!$A$2:$A$1000,$A13,Form127_Raw!$F$2:$F$1000,"&gt;=2019",Form127_Raw!$F$2:$F$1000,"&lt;=2024",Form127_Raw!$I$2:$I$1000,"&lt;&gt;")+COUNTIFS(Form127_Raw!$A$2:$A$1000,$A13,Form127_Raw!$F$2:$F$1000,"&gt;=2019",Form127_Raw!$F$2:$F$1000,"&lt;=2024",Form127_Raw!$J$2:$J$1000,"&lt;&gt;")+COUNTIFS(Form127_Raw!$A$2:$A$1000,$A13,Form127_Raw!$F$2:$F$1000,"&gt;=2019",Form127_Raw!$F$2:$F$1000,"&lt;=2024",Form127_Raw!$O$2:$O$1000,"&lt;&gt;")+COUNTIFS(Form127_Raw!$A$2:$A$1000,$A13,Form127_Raw!$F$2:$F$1000,"&gt;=2019",Form127_Raw!$F$2:$F$1000,"&lt;=2024",Form127_Raw!$Q$2:$Q$1000,"&lt;&gt;")+COUNTIFS(Form127_Raw!$A$2:$A$1000,$A13,Form127_Raw!$F$2:$F$1000,"&gt;=2019",Form127_Raw!$F$2:$F$1000,"&lt;=2024",Form127_Raw!$R$2:$R$1000,"&lt;&gt;"))/30</f>
        <v>0</v>
      </c>
      <c r="T13" s="14" t="str">
        <f t="shared" si="4"/>
        <v>Excellent - FAA Backfill Pending</v>
      </c>
    </row>
    <row r="14" spans="1:20">
      <c r="A14" s="14" t="str">
        <f>Airport_Master!A7</f>
        <v>JFK</v>
      </c>
      <c r="B14" s="14" t="str">
        <f>Airport_Master!B7</f>
        <v>John F Kennedy International</v>
      </c>
      <c r="C14" s="14" t="str">
        <f>Airport_Master!E7</f>
        <v>Large</v>
      </c>
      <c r="D14" s="14">
        <f>COUNTIFS(Form127_Raw!$A$2:$A$1000,$A14,Form127_Raw!$F$2:$F$1000,"&gt;=2019",Form127_Raw!$F$2:$F$1000,"&lt;=2024")</f>
        <v>6</v>
      </c>
      <c r="E14" s="29">
        <f t="shared" si="0"/>
        <v>1</v>
      </c>
      <c r="F14" s="14">
        <f>COUNTIFS(Form127_Raw!$A$2:$A$1000,$A14,Form127_Raw!$F$2:$F$1000,"&gt;=2019",Form127_Raw!$F$2:$F$1000,"&lt;=2024",Form127_Raw!$G$2:$G$1000,"&lt;&gt;")</f>
        <v>6</v>
      </c>
      <c r="G14" s="14">
        <f>COUNTIFS(Form127_Raw!$A$2:$A$1000,$A14,Form127_Raw!$F$2:$F$1000,"&gt;=2019",Form127_Raw!$F$2:$F$1000,"&lt;=2024",Form127_Raw!$H$2:$H$1000,"&lt;&gt;")</f>
        <v>6</v>
      </c>
      <c r="H14" s="14">
        <f>COUNTIFS(Form127_Raw!$A$2:$A$1000,$A14,Form127_Raw!$F$2:$F$1000,"&gt;=2019",Form127_Raw!$F$2:$F$1000,"&lt;=2024",Form127_Raw!$S$2:$S$1000,"&lt;&gt;")</f>
        <v>6</v>
      </c>
      <c r="I14" s="14">
        <f>COUNTIFS(Form127_Raw!$A$2:$A$1000,$A14,Form127_Raw!$F$2:$F$1000,"&gt;=2019",Form127_Raw!$F$2:$F$1000,"&lt;=2024",Form127_Raw!$T$2:$T$1000,"&lt;&gt;")</f>
        <v>6</v>
      </c>
      <c r="J14" s="14">
        <f>COUNTIFS(Form127_Raw!$A$2:$A$1000,$A14,Form127_Raw!$F$2:$F$1000,"&gt;=2019",Form127_Raw!$F$2:$F$1000,"&lt;=2024",Form127_Raw!$N$2:$N$1000,"&lt;&gt;")</f>
        <v>6</v>
      </c>
      <c r="K14" s="14">
        <f>COUNTIFS(Form127_Raw!$A$2:$A$1000,$A14,Form127_Raw!$F$2:$F$1000,"&gt;=2019",Form127_Raw!$F$2:$F$1000,"&lt;=2024",Form127_Raw!$M$2:$M$1000,"&lt;&gt;")</f>
        <v>6</v>
      </c>
      <c r="L14" s="14">
        <f>COUNTIFS(Form127_Raw!$A$2:$A$1000,$A14,Form127_Raw!$F$2:$F$1000,"&gt;=2019",Form127_Raw!$F$2:$F$1000,"&lt;=2024",Form127_Raw!$K$2:$K$1000,"&lt;&gt;")</f>
        <v>6</v>
      </c>
      <c r="M14" s="14">
        <f>COUNTIFS(Form127_Raw!$A$2:$A$1000,$A14,Form127_Raw!$F$2:$F$1000,"&gt;=2019",Form127_Raw!$F$2:$F$1000,"&lt;=2024",Form127_Raw!$L$2:$L$1000,"&lt;&gt;")</f>
        <v>6</v>
      </c>
      <c r="N14" s="14">
        <f>COUNTIFS(Form127_Raw!$A$2:$A$1000,$A14,Form127_Raw!$F$2:$F$1000,"&gt;=2019",Form127_Raw!$F$2:$F$1000,"&lt;=2024",Form127_Raw!$P$2:$P$1000,"&lt;&gt;")</f>
        <v>6</v>
      </c>
      <c r="O14" s="29">
        <f t="shared" si="1"/>
        <v>1</v>
      </c>
      <c r="P14" s="29">
        <f t="shared" si="2"/>
        <v>1</v>
      </c>
      <c r="Q14" s="14">
        <f>COUNTIFS(Form127_Raw!$A$2:$A$1000,$A14,Form127_Raw!$F$2:$F$1000,"&gt;=2019",Form127_Raw!$F$2:$F$1000,"&lt;=2024",Form127_Raw!$N$2:$N$1000,0)+COUNTIFS(Form127_Raw!$A$2:$A$1000,$A14,Form127_Raw!$F$2:$F$1000,"&gt;=2019",Form127_Raw!$F$2:$F$1000,"&lt;=2024",Form127_Raw!$M$2:$M$1000,0)+COUNTIFS(Form127_Raw!$A$2:$A$1000,$A14,Form127_Raw!$F$2:$F$1000,"&gt;=2019",Form127_Raw!$F$2:$F$1000,"&lt;=2024",Form127_Raw!$K$2:$K$1000,0)+COUNTIFS(Form127_Raw!$A$2:$A$1000,$A14,Form127_Raw!$F$2:$F$1000,"&gt;=2019",Form127_Raw!$F$2:$F$1000,"&lt;=2024",Form127_Raw!$L$2:$L$1000,0)+COUNTIFS(Form127_Raw!$A$2:$A$1000,$A14,Form127_Raw!$F$2:$F$1000,"&gt;=2019",Form127_Raw!$F$2:$F$1000,"&lt;=2024",Form127_Raw!$P$2:$P$1000,0)</f>
        <v>0</v>
      </c>
      <c r="R14" s="29">
        <f t="shared" si="3"/>
        <v>1</v>
      </c>
      <c r="S14" s="29">
        <f>(COUNTIFS(Form127_Raw!$A$2:$A$1000,$A14,Form127_Raw!$F$2:$F$1000,"&gt;=2019",Form127_Raw!$F$2:$F$1000,"&lt;=2024",Form127_Raw!$I$2:$I$1000,"&lt;&gt;")+COUNTIFS(Form127_Raw!$A$2:$A$1000,$A14,Form127_Raw!$F$2:$F$1000,"&gt;=2019",Form127_Raw!$F$2:$F$1000,"&lt;=2024",Form127_Raw!$J$2:$J$1000,"&lt;&gt;")+COUNTIFS(Form127_Raw!$A$2:$A$1000,$A14,Form127_Raw!$F$2:$F$1000,"&gt;=2019",Form127_Raw!$F$2:$F$1000,"&lt;=2024",Form127_Raw!$O$2:$O$1000,"&lt;&gt;")+COUNTIFS(Form127_Raw!$A$2:$A$1000,$A14,Form127_Raw!$F$2:$F$1000,"&gt;=2019",Form127_Raw!$F$2:$F$1000,"&lt;=2024",Form127_Raw!$Q$2:$Q$1000,"&lt;&gt;")+COUNTIFS(Form127_Raw!$A$2:$A$1000,$A14,Form127_Raw!$F$2:$F$1000,"&gt;=2019",Form127_Raw!$F$2:$F$1000,"&lt;=2024",Form127_Raw!$R$2:$R$1000,"&lt;&gt;"))/30</f>
        <v>0</v>
      </c>
      <c r="T14" s="14" t="str">
        <f t="shared" si="4"/>
        <v>Excellent - FAA Backfill Pending</v>
      </c>
    </row>
    <row r="15" spans="1:20">
      <c r="A15" s="14" t="str">
        <f>Airport_Master!A8</f>
        <v>CLT</v>
      </c>
      <c r="B15" s="14" t="str">
        <f>Airport_Master!B8</f>
        <v>Charlotte/Douglas International</v>
      </c>
      <c r="C15" s="14" t="str">
        <f>Airport_Master!E8</f>
        <v>Large</v>
      </c>
      <c r="D15" s="14">
        <f>COUNTIFS(Form127_Raw!$A$2:$A$1000,$A15,Form127_Raw!$F$2:$F$1000,"&gt;=2019",Form127_Raw!$F$2:$F$1000,"&lt;=2024")</f>
        <v>6</v>
      </c>
      <c r="E15" s="29">
        <f t="shared" si="0"/>
        <v>1</v>
      </c>
      <c r="F15" s="14">
        <f>COUNTIFS(Form127_Raw!$A$2:$A$1000,$A15,Form127_Raw!$F$2:$F$1000,"&gt;=2019",Form127_Raw!$F$2:$F$1000,"&lt;=2024",Form127_Raw!$G$2:$G$1000,"&lt;&gt;")</f>
        <v>6</v>
      </c>
      <c r="G15" s="14">
        <f>COUNTIFS(Form127_Raw!$A$2:$A$1000,$A15,Form127_Raw!$F$2:$F$1000,"&gt;=2019",Form127_Raw!$F$2:$F$1000,"&lt;=2024",Form127_Raw!$H$2:$H$1000,"&lt;&gt;")</f>
        <v>6</v>
      </c>
      <c r="H15" s="14">
        <f>COUNTIFS(Form127_Raw!$A$2:$A$1000,$A15,Form127_Raw!$F$2:$F$1000,"&gt;=2019",Form127_Raw!$F$2:$F$1000,"&lt;=2024",Form127_Raw!$S$2:$S$1000,"&lt;&gt;")</f>
        <v>6</v>
      </c>
      <c r="I15" s="14">
        <f>COUNTIFS(Form127_Raw!$A$2:$A$1000,$A15,Form127_Raw!$F$2:$F$1000,"&gt;=2019",Form127_Raw!$F$2:$F$1000,"&lt;=2024",Form127_Raw!$T$2:$T$1000,"&lt;&gt;")</f>
        <v>6</v>
      </c>
      <c r="J15" s="14">
        <f>COUNTIFS(Form127_Raw!$A$2:$A$1000,$A15,Form127_Raw!$F$2:$F$1000,"&gt;=2019",Form127_Raw!$F$2:$F$1000,"&lt;=2024",Form127_Raw!$N$2:$N$1000,"&lt;&gt;")</f>
        <v>6</v>
      </c>
      <c r="K15" s="14">
        <f>COUNTIFS(Form127_Raw!$A$2:$A$1000,$A15,Form127_Raw!$F$2:$F$1000,"&gt;=2019",Form127_Raw!$F$2:$F$1000,"&lt;=2024",Form127_Raw!$M$2:$M$1000,"&lt;&gt;")</f>
        <v>6</v>
      </c>
      <c r="L15" s="14">
        <f>COUNTIFS(Form127_Raw!$A$2:$A$1000,$A15,Form127_Raw!$F$2:$F$1000,"&gt;=2019",Form127_Raw!$F$2:$F$1000,"&lt;=2024",Form127_Raw!$K$2:$K$1000,"&lt;&gt;")</f>
        <v>6</v>
      </c>
      <c r="M15" s="14">
        <f>COUNTIFS(Form127_Raw!$A$2:$A$1000,$A15,Form127_Raw!$F$2:$F$1000,"&gt;=2019",Form127_Raw!$F$2:$F$1000,"&lt;=2024",Form127_Raw!$L$2:$L$1000,"&lt;&gt;")</f>
        <v>6</v>
      </c>
      <c r="N15" s="14">
        <f>COUNTIFS(Form127_Raw!$A$2:$A$1000,$A15,Form127_Raw!$F$2:$F$1000,"&gt;=2019",Form127_Raw!$F$2:$F$1000,"&lt;=2024",Form127_Raw!$P$2:$P$1000,"&lt;&gt;")</f>
        <v>6</v>
      </c>
      <c r="O15" s="29">
        <f t="shared" si="1"/>
        <v>1</v>
      </c>
      <c r="P15" s="29">
        <f t="shared" si="2"/>
        <v>1</v>
      </c>
      <c r="Q15" s="14">
        <f>COUNTIFS(Form127_Raw!$A$2:$A$1000,$A15,Form127_Raw!$F$2:$F$1000,"&gt;=2019",Form127_Raw!$F$2:$F$1000,"&lt;=2024",Form127_Raw!$N$2:$N$1000,0)+COUNTIFS(Form127_Raw!$A$2:$A$1000,$A15,Form127_Raw!$F$2:$F$1000,"&gt;=2019",Form127_Raw!$F$2:$F$1000,"&lt;=2024",Form127_Raw!$M$2:$M$1000,0)+COUNTIFS(Form127_Raw!$A$2:$A$1000,$A15,Form127_Raw!$F$2:$F$1000,"&gt;=2019",Form127_Raw!$F$2:$F$1000,"&lt;=2024",Form127_Raw!$K$2:$K$1000,0)+COUNTIFS(Form127_Raw!$A$2:$A$1000,$A15,Form127_Raw!$F$2:$F$1000,"&gt;=2019",Form127_Raw!$F$2:$F$1000,"&lt;=2024",Form127_Raw!$L$2:$L$1000,0)+COUNTIFS(Form127_Raw!$A$2:$A$1000,$A15,Form127_Raw!$F$2:$F$1000,"&gt;=2019",Form127_Raw!$F$2:$F$1000,"&lt;=2024",Form127_Raw!$P$2:$P$1000,0)</f>
        <v>0</v>
      </c>
      <c r="R15" s="29">
        <f t="shared" si="3"/>
        <v>1</v>
      </c>
      <c r="S15" s="29">
        <f>(COUNTIFS(Form127_Raw!$A$2:$A$1000,$A15,Form127_Raw!$F$2:$F$1000,"&gt;=2019",Form127_Raw!$F$2:$F$1000,"&lt;=2024",Form127_Raw!$I$2:$I$1000,"&lt;&gt;")+COUNTIFS(Form127_Raw!$A$2:$A$1000,$A15,Form127_Raw!$F$2:$F$1000,"&gt;=2019",Form127_Raw!$F$2:$F$1000,"&lt;=2024",Form127_Raw!$J$2:$J$1000,"&lt;&gt;")+COUNTIFS(Form127_Raw!$A$2:$A$1000,$A15,Form127_Raw!$F$2:$F$1000,"&gt;=2019",Form127_Raw!$F$2:$F$1000,"&lt;=2024",Form127_Raw!$O$2:$O$1000,"&lt;&gt;")+COUNTIFS(Form127_Raw!$A$2:$A$1000,$A15,Form127_Raw!$F$2:$F$1000,"&gt;=2019",Form127_Raw!$F$2:$F$1000,"&lt;=2024",Form127_Raw!$Q$2:$Q$1000,"&lt;&gt;")+COUNTIFS(Form127_Raw!$A$2:$A$1000,$A15,Form127_Raw!$F$2:$F$1000,"&gt;=2019",Form127_Raw!$F$2:$F$1000,"&lt;=2024",Form127_Raw!$R$2:$R$1000,"&lt;&gt;"))/30</f>
        <v>0</v>
      </c>
      <c r="T15" s="14" t="str">
        <f t="shared" si="4"/>
        <v>Excellent - FAA Backfill Pending</v>
      </c>
    </row>
    <row r="16" spans="1:20">
      <c r="A16" s="14" t="str">
        <f>Airport_Master!A9</f>
        <v>LAS</v>
      </c>
      <c r="B16" s="14" t="str">
        <f>Airport_Master!B9</f>
        <v>Harry Reid International</v>
      </c>
      <c r="C16" s="14" t="str">
        <f>Airport_Master!E9</f>
        <v>Large</v>
      </c>
      <c r="D16" s="14">
        <f>COUNTIFS(Form127_Raw!$A$2:$A$1000,$A16,Form127_Raw!$F$2:$F$1000,"&gt;=2019",Form127_Raw!$F$2:$F$1000,"&lt;=2024")</f>
        <v>6</v>
      </c>
      <c r="E16" s="29">
        <f t="shared" si="0"/>
        <v>1</v>
      </c>
      <c r="F16" s="14">
        <f>COUNTIFS(Form127_Raw!$A$2:$A$1000,$A16,Form127_Raw!$F$2:$F$1000,"&gt;=2019",Form127_Raw!$F$2:$F$1000,"&lt;=2024",Form127_Raw!$G$2:$G$1000,"&lt;&gt;")</f>
        <v>6</v>
      </c>
      <c r="G16" s="14">
        <f>COUNTIFS(Form127_Raw!$A$2:$A$1000,$A16,Form127_Raw!$F$2:$F$1000,"&gt;=2019",Form127_Raw!$F$2:$F$1000,"&lt;=2024",Form127_Raw!$H$2:$H$1000,"&lt;&gt;")</f>
        <v>6</v>
      </c>
      <c r="H16" s="14">
        <f>COUNTIFS(Form127_Raw!$A$2:$A$1000,$A16,Form127_Raw!$F$2:$F$1000,"&gt;=2019",Form127_Raw!$F$2:$F$1000,"&lt;=2024",Form127_Raw!$S$2:$S$1000,"&lt;&gt;")</f>
        <v>6</v>
      </c>
      <c r="I16" s="14">
        <f>COUNTIFS(Form127_Raw!$A$2:$A$1000,$A16,Form127_Raw!$F$2:$F$1000,"&gt;=2019",Form127_Raw!$F$2:$F$1000,"&lt;=2024",Form127_Raw!$T$2:$T$1000,"&lt;&gt;")</f>
        <v>6</v>
      </c>
      <c r="J16" s="14">
        <f>COUNTIFS(Form127_Raw!$A$2:$A$1000,$A16,Form127_Raw!$F$2:$F$1000,"&gt;=2019",Form127_Raw!$F$2:$F$1000,"&lt;=2024",Form127_Raw!$N$2:$N$1000,"&lt;&gt;")</f>
        <v>6</v>
      </c>
      <c r="K16" s="14">
        <f>COUNTIFS(Form127_Raw!$A$2:$A$1000,$A16,Form127_Raw!$F$2:$F$1000,"&gt;=2019",Form127_Raw!$F$2:$F$1000,"&lt;=2024",Form127_Raw!$M$2:$M$1000,"&lt;&gt;")</f>
        <v>6</v>
      </c>
      <c r="L16" s="14">
        <f>COUNTIFS(Form127_Raw!$A$2:$A$1000,$A16,Form127_Raw!$F$2:$F$1000,"&gt;=2019",Form127_Raw!$F$2:$F$1000,"&lt;=2024",Form127_Raw!$K$2:$K$1000,"&lt;&gt;")</f>
        <v>6</v>
      </c>
      <c r="M16" s="14">
        <f>COUNTIFS(Form127_Raw!$A$2:$A$1000,$A16,Form127_Raw!$F$2:$F$1000,"&gt;=2019",Form127_Raw!$F$2:$F$1000,"&lt;=2024",Form127_Raw!$L$2:$L$1000,"&lt;&gt;")</f>
        <v>6</v>
      </c>
      <c r="N16" s="14">
        <f>COUNTIFS(Form127_Raw!$A$2:$A$1000,$A16,Form127_Raw!$F$2:$F$1000,"&gt;=2019",Form127_Raw!$F$2:$F$1000,"&lt;=2024",Form127_Raw!$P$2:$P$1000,"&lt;&gt;")</f>
        <v>6</v>
      </c>
      <c r="O16" s="29">
        <f t="shared" si="1"/>
        <v>1</v>
      </c>
      <c r="P16" s="29">
        <f t="shared" si="2"/>
        <v>1</v>
      </c>
      <c r="Q16" s="14">
        <f>COUNTIFS(Form127_Raw!$A$2:$A$1000,$A16,Form127_Raw!$F$2:$F$1000,"&gt;=2019",Form127_Raw!$F$2:$F$1000,"&lt;=2024",Form127_Raw!$N$2:$N$1000,0)+COUNTIFS(Form127_Raw!$A$2:$A$1000,$A16,Form127_Raw!$F$2:$F$1000,"&gt;=2019",Form127_Raw!$F$2:$F$1000,"&lt;=2024",Form127_Raw!$M$2:$M$1000,0)+COUNTIFS(Form127_Raw!$A$2:$A$1000,$A16,Form127_Raw!$F$2:$F$1000,"&gt;=2019",Form127_Raw!$F$2:$F$1000,"&lt;=2024",Form127_Raw!$K$2:$K$1000,0)+COUNTIFS(Form127_Raw!$A$2:$A$1000,$A16,Form127_Raw!$F$2:$F$1000,"&gt;=2019",Form127_Raw!$F$2:$F$1000,"&lt;=2024",Form127_Raw!$L$2:$L$1000,0)+COUNTIFS(Form127_Raw!$A$2:$A$1000,$A16,Form127_Raw!$F$2:$F$1000,"&gt;=2019",Form127_Raw!$F$2:$F$1000,"&lt;=2024",Form127_Raw!$P$2:$P$1000,0)</f>
        <v>0</v>
      </c>
      <c r="R16" s="29">
        <f t="shared" si="3"/>
        <v>1</v>
      </c>
      <c r="S16" s="29">
        <f>(COUNTIFS(Form127_Raw!$A$2:$A$1000,$A16,Form127_Raw!$F$2:$F$1000,"&gt;=2019",Form127_Raw!$F$2:$F$1000,"&lt;=2024",Form127_Raw!$I$2:$I$1000,"&lt;&gt;")+COUNTIFS(Form127_Raw!$A$2:$A$1000,$A16,Form127_Raw!$F$2:$F$1000,"&gt;=2019",Form127_Raw!$F$2:$F$1000,"&lt;=2024",Form127_Raw!$J$2:$J$1000,"&lt;&gt;")+COUNTIFS(Form127_Raw!$A$2:$A$1000,$A16,Form127_Raw!$F$2:$F$1000,"&gt;=2019",Form127_Raw!$F$2:$F$1000,"&lt;=2024",Form127_Raw!$O$2:$O$1000,"&lt;&gt;")+COUNTIFS(Form127_Raw!$A$2:$A$1000,$A16,Form127_Raw!$F$2:$F$1000,"&gt;=2019",Form127_Raw!$F$2:$F$1000,"&lt;=2024",Form127_Raw!$Q$2:$Q$1000,"&lt;&gt;")+COUNTIFS(Form127_Raw!$A$2:$A$1000,$A16,Form127_Raw!$F$2:$F$1000,"&gt;=2019",Form127_Raw!$F$2:$F$1000,"&lt;=2024",Form127_Raw!$R$2:$R$1000,"&lt;&gt;"))/30</f>
        <v>0</v>
      </c>
      <c r="T16" s="14" t="str">
        <f t="shared" si="4"/>
        <v>Excellent - FAA Backfill Pending</v>
      </c>
    </row>
    <row r="17" spans="1:20">
      <c r="A17" s="14" t="str">
        <f>Airport_Master!A10</f>
        <v>MCO</v>
      </c>
      <c r="B17" s="14" t="str">
        <f>Airport_Master!B10</f>
        <v>Orlando International</v>
      </c>
      <c r="C17" s="14" t="str">
        <f>Airport_Master!E10</f>
        <v>Large</v>
      </c>
      <c r="D17" s="14">
        <f>COUNTIFS(Form127_Raw!$A$2:$A$1000,$A17,Form127_Raw!$F$2:$F$1000,"&gt;=2019",Form127_Raw!$F$2:$F$1000,"&lt;=2024")</f>
        <v>6</v>
      </c>
      <c r="E17" s="29">
        <f t="shared" si="0"/>
        <v>1</v>
      </c>
      <c r="F17" s="14">
        <f>COUNTIFS(Form127_Raw!$A$2:$A$1000,$A17,Form127_Raw!$F$2:$F$1000,"&gt;=2019",Form127_Raw!$F$2:$F$1000,"&lt;=2024",Form127_Raw!$G$2:$G$1000,"&lt;&gt;")</f>
        <v>6</v>
      </c>
      <c r="G17" s="14">
        <f>COUNTIFS(Form127_Raw!$A$2:$A$1000,$A17,Form127_Raw!$F$2:$F$1000,"&gt;=2019",Form127_Raw!$F$2:$F$1000,"&lt;=2024",Form127_Raw!$H$2:$H$1000,"&lt;&gt;")</f>
        <v>6</v>
      </c>
      <c r="H17" s="14">
        <f>COUNTIFS(Form127_Raw!$A$2:$A$1000,$A17,Form127_Raw!$F$2:$F$1000,"&gt;=2019",Form127_Raw!$F$2:$F$1000,"&lt;=2024",Form127_Raw!$S$2:$S$1000,"&lt;&gt;")</f>
        <v>6</v>
      </c>
      <c r="I17" s="14">
        <f>COUNTIFS(Form127_Raw!$A$2:$A$1000,$A17,Form127_Raw!$F$2:$F$1000,"&gt;=2019",Form127_Raw!$F$2:$F$1000,"&lt;=2024",Form127_Raw!$T$2:$T$1000,"&lt;&gt;")</f>
        <v>6</v>
      </c>
      <c r="J17" s="14">
        <f>COUNTIFS(Form127_Raw!$A$2:$A$1000,$A17,Form127_Raw!$F$2:$F$1000,"&gt;=2019",Form127_Raw!$F$2:$F$1000,"&lt;=2024",Form127_Raw!$N$2:$N$1000,"&lt;&gt;")</f>
        <v>6</v>
      </c>
      <c r="K17" s="14">
        <f>COUNTIFS(Form127_Raw!$A$2:$A$1000,$A17,Form127_Raw!$F$2:$F$1000,"&gt;=2019",Form127_Raw!$F$2:$F$1000,"&lt;=2024",Form127_Raw!$M$2:$M$1000,"&lt;&gt;")</f>
        <v>6</v>
      </c>
      <c r="L17" s="14">
        <f>COUNTIFS(Form127_Raw!$A$2:$A$1000,$A17,Form127_Raw!$F$2:$F$1000,"&gt;=2019",Form127_Raw!$F$2:$F$1000,"&lt;=2024",Form127_Raw!$K$2:$K$1000,"&lt;&gt;")</f>
        <v>6</v>
      </c>
      <c r="M17" s="14">
        <f>COUNTIFS(Form127_Raw!$A$2:$A$1000,$A17,Form127_Raw!$F$2:$F$1000,"&gt;=2019",Form127_Raw!$F$2:$F$1000,"&lt;=2024",Form127_Raw!$L$2:$L$1000,"&lt;&gt;")</f>
        <v>6</v>
      </c>
      <c r="N17" s="14">
        <f>COUNTIFS(Form127_Raw!$A$2:$A$1000,$A17,Form127_Raw!$F$2:$F$1000,"&gt;=2019",Form127_Raw!$F$2:$F$1000,"&lt;=2024",Form127_Raw!$P$2:$P$1000,"&lt;&gt;")</f>
        <v>6</v>
      </c>
      <c r="O17" s="29">
        <f t="shared" si="1"/>
        <v>1</v>
      </c>
      <c r="P17" s="29">
        <f t="shared" si="2"/>
        <v>1</v>
      </c>
      <c r="Q17" s="14">
        <f>COUNTIFS(Form127_Raw!$A$2:$A$1000,$A17,Form127_Raw!$F$2:$F$1000,"&gt;=2019",Form127_Raw!$F$2:$F$1000,"&lt;=2024",Form127_Raw!$N$2:$N$1000,0)+COUNTIFS(Form127_Raw!$A$2:$A$1000,$A17,Form127_Raw!$F$2:$F$1000,"&gt;=2019",Form127_Raw!$F$2:$F$1000,"&lt;=2024",Form127_Raw!$M$2:$M$1000,0)+COUNTIFS(Form127_Raw!$A$2:$A$1000,$A17,Form127_Raw!$F$2:$F$1000,"&gt;=2019",Form127_Raw!$F$2:$F$1000,"&lt;=2024",Form127_Raw!$K$2:$K$1000,0)+COUNTIFS(Form127_Raw!$A$2:$A$1000,$A17,Form127_Raw!$F$2:$F$1000,"&gt;=2019",Form127_Raw!$F$2:$F$1000,"&lt;=2024",Form127_Raw!$L$2:$L$1000,0)+COUNTIFS(Form127_Raw!$A$2:$A$1000,$A17,Form127_Raw!$F$2:$F$1000,"&gt;=2019",Form127_Raw!$F$2:$F$1000,"&lt;=2024",Form127_Raw!$P$2:$P$1000,0)</f>
        <v>0</v>
      </c>
      <c r="R17" s="29">
        <f t="shared" si="3"/>
        <v>1</v>
      </c>
      <c r="S17" s="29">
        <f>(COUNTIFS(Form127_Raw!$A$2:$A$1000,$A17,Form127_Raw!$F$2:$F$1000,"&gt;=2019",Form127_Raw!$F$2:$F$1000,"&lt;=2024",Form127_Raw!$I$2:$I$1000,"&lt;&gt;")+COUNTIFS(Form127_Raw!$A$2:$A$1000,$A17,Form127_Raw!$F$2:$F$1000,"&gt;=2019",Form127_Raw!$F$2:$F$1000,"&lt;=2024",Form127_Raw!$J$2:$J$1000,"&lt;&gt;")+COUNTIFS(Form127_Raw!$A$2:$A$1000,$A17,Form127_Raw!$F$2:$F$1000,"&gt;=2019",Form127_Raw!$F$2:$F$1000,"&lt;=2024",Form127_Raw!$O$2:$O$1000,"&lt;&gt;")+COUNTIFS(Form127_Raw!$A$2:$A$1000,$A17,Form127_Raw!$F$2:$F$1000,"&gt;=2019",Form127_Raw!$F$2:$F$1000,"&lt;=2024",Form127_Raw!$Q$2:$Q$1000,"&lt;&gt;")+COUNTIFS(Form127_Raw!$A$2:$A$1000,$A17,Form127_Raw!$F$2:$F$1000,"&gt;=2019",Form127_Raw!$F$2:$F$1000,"&lt;=2024",Form127_Raw!$R$2:$R$1000,"&lt;&gt;"))/30</f>
        <v>0</v>
      </c>
      <c r="T17" s="14" t="str">
        <f t="shared" si="4"/>
        <v>Excellent - FAA Backfill Pending</v>
      </c>
    </row>
    <row r="18" spans="1:20">
      <c r="A18" s="14" t="str">
        <f>Airport_Master!A11</f>
        <v>MIA</v>
      </c>
      <c r="B18" s="14" t="str">
        <f>Airport_Master!B11</f>
        <v>Miami International</v>
      </c>
      <c r="C18" s="14" t="str">
        <f>Airport_Master!E11</f>
        <v>Large</v>
      </c>
      <c r="D18" s="14">
        <f>COUNTIFS(Form127_Raw!$A$2:$A$1000,$A18,Form127_Raw!$F$2:$F$1000,"&gt;=2019",Form127_Raw!$F$2:$F$1000,"&lt;=2024")</f>
        <v>6</v>
      </c>
      <c r="E18" s="29">
        <f t="shared" si="0"/>
        <v>1</v>
      </c>
      <c r="F18" s="14">
        <f>COUNTIFS(Form127_Raw!$A$2:$A$1000,$A18,Form127_Raw!$F$2:$F$1000,"&gt;=2019",Form127_Raw!$F$2:$F$1000,"&lt;=2024",Form127_Raw!$G$2:$G$1000,"&lt;&gt;")</f>
        <v>6</v>
      </c>
      <c r="G18" s="14">
        <f>COUNTIFS(Form127_Raw!$A$2:$A$1000,$A18,Form127_Raw!$F$2:$F$1000,"&gt;=2019",Form127_Raw!$F$2:$F$1000,"&lt;=2024",Form127_Raw!$H$2:$H$1000,"&lt;&gt;")</f>
        <v>6</v>
      </c>
      <c r="H18" s="14">
        <f>COUNTIFS(Form127_Raw!$A$2:$A$1000,$A18,Form127_Raw!$F$2:$F$1000,"&gt;=2019",Form127_Raw!$F$2:$F$1000,"&lt;=2024",Form127_Raw!$S$2:$S$1000,"&lt;&gt;")</f>
        <v>6</v>
      </c>
      <c r="I18" s="14">
        <f>COUNTIFS(Form127_Raw!$A$2:$A$1000,$A18,Form127_Raw!$F$2:$F$1000,"&gt;=2019",Form127_Raw!$F$2:$F$1000,"&lt;=2024",Form127_Raw!$T$2:$T$1000,"&lt;&gt;")</f>
        <v>6</v>
      </c>
      <c r="J18" s="14">
        <f>COUNTIFS(Form127_Raw!$A$2:$A$1000,$A18,Form127_Raw!$F$2:$F$1000,"&gt;=2019",Form127_Raw!$F$2:$F$1000,"&lt;=2024",Form127_Raw!$N$2:$N$1000,"&lt;&gt;")</f>
        <v>6</v>
      </c>
      <c r="K18" s="14">
        <f>COUNTIFS(Form127_Raw!$A$2:$A$1000,$A18,Form127_Raw!$F$2:$F$1000,"&gt;=2019",Form127_Raw!$F$2:$F$1000,"&lt;=2024",Form127_Raw!$M$2:$M$1000,"&lt;&gt;")</f>
        <v>6</v>
      </c>
      <c r="L18" s="14">
        <f>COUNTIFS(Form127_Raw!$A$2:$A$1000,$A18,Form127_Raw!$F$2:$F$1000,"&gt;=2019",Form127_Raw!$F$2:$F$1000,"&lt;=2024",Form127_Raw!$K$2:$K$1000,"&lt;&gt;")</f>
        <v>6</v>
      </c>
      <c r="M18" s="14">
        <f>COUNTIFS(Form127_Raw!$A$2:$A$1000,$A18,Form127_Raw!$F$2:$F$1000,"&gt;=2019",Form127_Raw!$F$2:$F$1000,"&lt;=2024",Form127_Raw!$L$2:$L$1000,"&lt;&gt;")</f>
        <v>6</v>
      </c>
      <c r="N18" s="14">
        <f>COUNTIFS(Form127_Raw!$A$2:$A$1000,$A18,Form127_Raw!$F$2:$F$1000,"&gt;=2019",Form127_Raw!$F$2:$F$1000,"&lt;=2024",Form127_Raw!$P$2:$P$1000,"&lt;&gt;")</f>
        <v>6</v>
      </c>
      <c r="O18" s="29">
        <f t="shared" si="1"/>
        <v>1</v>
      </c>
      <c r="P18" s="29">
        <f t="shared" si="2"/>
        <v>1</v>
      </c>
      <c r="Q18" s="14">
        <f>COUNTIFS(Form127_Raw!$A$2:$A$1000,$A18,Form127_Raw!$F$2:$F$1000,"&gt;=2019",Form127_Raw!$F$2:$F$1000,"&lt;=2024",Form127_Raw!$N$2:$N$1000,0)+COUNTIFS(Form127_Raw!$A$2:$A$1000,$A18,Form127_Raw!$F$2:$F$1000,"&gt;=2019",Form127_Raw!$F$2:$F$1000,"&lt;=2024",Form127_Raw!$M$2:$M$1000,0)+COUNTIFS(Form127_Raw!$A$2:$A$1000,$A18,Form127_Raw!$F$2:$F$1000,"&gt;=2019",Form127_Raw!$F$2:$F$1000,"&lt;=2024",Form127_Raw!$K$2:$K$1000,0)+COUNTIFS(Form127_Raw!$A$2:$A$1000,$A18,Form127_Raw!$F$2:$F$1000,"&gt;=2019",Form127_Raw!$F$2:$F$1000,"&lt;=2024",Form127_Raw!$L$2:$L$1000,0)+COUNTIFS(Form127_Raw!$A$2:$A$1000,$A18,Form127_Raw!$F$2:$F$1000,"&gt;=2019",Form127_Raw!$F$2:$F$1000,"&lt;=2024",Form127_Raw!$P$2:$P$1000,0)</f>
        <v>0</v>
      </c>
      <c r="R18" s="29">
        <f t="shared" si="3"/>
        <v>1</v>
      </c>
      <c r="S18" s="29">
        <f>(COUNTIFS(Form127_Raw!$A$2:$A$1000,$A18,Form127_Raw!$F$2:$F$1000,"&gt;=2019",Form127_Raw!$F$2:$F$1000,"&lt;=2024",Form127_Raw!$I$2:$I$1000,"&lt;&gt;")+COUNTIFS(Form127_Raw!$A$2:$A$1000,$A18,Form127_Raw!$F$2:$F$1000,"&gt;=2019",Form127_Raw!$F$2:$F$1000,"&lt;=2024",Form127_Raw!$J$2:$J$1000,"&lt;&gt;")+COUNTIFS(Form127_Raw!$A$2:$A$1000,$A18,Form127_Raw!$F$2:$F$1000,"&gt;=2019",Form127_Raw!$F$2:$F$1000,"&lt;=2024",Form127_Raw!$O$2:$O$1000,"&lt;&gt;")+COUNTIFS(Form127_Raw!$A$2:$A$1000,$A18,Form127_Raw!$F$2:$F$1000,"&gt;=2019",Form127_Raw!$F$2:$F$1000,"&lt;=2024",Form127_Raw!$Q$2:$Q$1000,"&lt;&gt;")+COUNTIFS(Form127_Raw!$A$2:$A$1000,$A18,Form127_Raw!$F$2:$F$1000,"&gt;=2019",Form127_Raw!$F$2:$F$1000,"&lt;=2024",Form127_Raw!$R$2:$R$1000,"&lt;&gt;"))/30</f>
        <v>0</v>
      </c>
      <c r="T18" s="14" t="str">
        <f t="shared" si="4"/>
        <v>Excellent - FAA Backfill Pending</v>
      </c>
    </row>
    <row r="19" spans="1:20">
      <c r="A19" s="14" t="str">
        <f>Airport_Master!A12</f>
        <v>PHX</v>
      </c>
      <c r="B19" s="14" t="str">
        <f>Airport_Master!B12</f>
        <v>Phoenix Sky Harbor International</v>
      </c>
      <c r="C19" s="14" t="str">
        <f>Airport_Master!E12</f>
        <v>Large</v>
      </c>
      <c r="D19" s="14">
        <f>COUNTIFS(Form127_Raw!$A$2:$A$1000,$A19,Form127_Raw!$F$2:$F$1000,"&gt;=2019",Form127_Raw!$F$2:$F$1000,"&lt;=2024")</f>
        <v>6</v>
      </c>
      <c r="E19" s="29">
        <f t="shared" si="0"/>
        <v>1</v>
      </c>
      <c r="F19" s="14">
        <f>COUNTIFS(Form127_Raw!$A$2:$A$1000,$A19,Form127_Raw!$F$2:$F$1000,"&gt;=2019",Form127_Raw!$F$2:$F$1000,"&lt;=2024",Form127_Raw!$G$2:$G$1000,"&lt;&gt;")</f>
        <v>6</v>
      </c>
      <c r="G19" s="14">
        <f>COUNTIFS(Form127_Raw!$A$2:$A$1000,$A19,Form127_Raw!$F$2:$F$1000,"&gt;=2019",Form127_Raw!$F$2:$F$1000,"&lt;=2024",Form127_Raw!$H$2:$H$1000,"&lt;&gt;")</f>
        <v>6</v>
      </c>
      <c r="H19" s="14">
        <f>COUNTIFS(Form127_Raw!$A$2:$A$1000,$A19,Form127_Raw!$F$2:$F$1000,"&gt;=2019",Form127_Raw!$F$2:$F$1000,"&lt;=2024",Form127_Raw!$S$2:$S$1000,"&lt;&gt;")</f>
        <v>6</v>
      </c>
      <c r="I19" s="14">
        <f>COUNTIFS(Form127_Raw!$A$2:$A$1000,$A19,Form127_Raw!$F$2:$F$1000,"&gt;=2019",Form127_Raw!$F$2:$F$1000,"&lt;=2024",Form127_Raw!$T$2:$T$1000,"&lt;&gt;")</f>
        <v>6</v>
      </c>
      <c r="J19" s="14">
        <f>COUNTIFS(Form127_Raw!$A$2:$A$1000,$A19,Form127_Raw!$F$2:$F$1000,"&gt;=2019",Form127_Raw!$F$2:$F$1000,"&lt;=2024",Form127_Raw!$N$2:$N$1000,"&lt;&gt;")</f>
        <v>6</v>
      </c>
      <c r="K19" s="14">
        <f>COUNTIFS(Form127_Raw!$A$2:$A$1000,$A19,Form127_Raw!$F$2:$F$1000,"&gt;=2019",Form127_Raw!$F$2:$F$1000,"&lt;=2024",Form127_Raw!$M$2:$M$1000,"&lt;&gt;")</f>
        <v>6</v>
      </c>
      <c r="L19" s="14">
        <f>COUNTIFS(Form127_Raw!$A$2:$A$1000,$A19,Form127_Raw!$F$2:$F$1000,"&gt;=2019",Form127_Raw!$F$2:$F$1000,"&lt;=2024",Form127_Raw!$K$2:$K$1000,"&lt;&gt;")</f>
        <v>6</v>
      </c>
      <c r="M19" s="14">
        <f>COUNTIFS(Form127_Raw!$A$2:$A$1000,$A19,Form127_Raw!$F$2:$F$1000,"&gt;=2019",Form127_Raw!$F$2:$F$1000,"&lt;=2024",Form127_Raw!$L$2:$L$1000,"&lt;&gt;")</f>
        <v>6</v>
      </c>
      <c r="N19" s="14">
        <f>COUNTIFS(Form127_Raw!$A$2:$A$1000,$A19,Form127_Raw!$F$2:$F$1000,"&gt;=2019",Form127_Raw!$F$2:$F$1000,"&lt;=2024",Form127_Raw!$P$2:$P$1000,"&lt;&gt;")</f>
        <v>6</v>
      </c>
      <c r="O19" s="29">
        <f t="shared" si="1"/>
        <v>1</v>
      </c>
      <c r="P19" s="29">
        <f t="shared" si="2"/>
        <v>1</v>
      </c>
      <c r="Q19" s="14">
        <f>COUNTIFS(Form127_Raw!$A$2:$A$1000,$A19,Form127_Raw!$F$2:$F$1000,"&gt;=2019",Form127_Raw!$F$2:$F$1000,"&lt;=2024",Form127_Raw!$N$2:$N$1000,0)+COUNTIFS(Form127_Raw!$A$2:$A$1000,$A19,Form127_Raw!$F$2:$F$1000,"&gt;=2019",Form127_Raw!$F$2:$F$1000,"&lt;=2024",Form127_Raw!$M$2:$M$1000,0)+COUNTIFS(Form127_Raw!$A$2:$A$1000,$A19,Form127_Raw!$F$2:$F$1000,"&gt;=2019",Form127_Raw!$F$2:$F$1000,"&lt;=2024",Form127_Raw!$K$2:$K$1000,0)+COUNTIFS(Form127_Raw!$A$2:$A$1000,$A19,Form127_Raw!$F$2:$F$1000,"&gt;=2019",Form127_Raw!$F$2:$F$1000,"&lt;=2024",Form127_Raw!$L$2:$L$1000,0)+COUNTIFS(Form127_Raw!$A$2:$A$1000,$A19,Form127_Raw!$F$2:$F$1000,"&gt;=2019",Form127_Raw!$F$2:$F$1000,"&lt;=2024",Form127_Raw!$P$2:$P$1000,0)</f>
        <v>5</v>
      </c>
      <c r="R19" s="29">
        <f t="shared" si="3"/>
        <v>1</v>
      </c>
      <c r="S19" s="29">
        <f>(COUNTIFS(Form127_Raw!$A$2:$A$1000,$A19,Form127_Raw!$F$2:$F$1000,"&gt;=2019",Form127_Raw!$F$2:$F$1000,"&lt;=2024",Form127_Raw!$I$2:$I$1000,"&lt;&gt;")+COUNTIFS(Form127_Raw!$A$2:$A$1000,$A19,Form127_Raw!$F$2:$F$1000,"&gt;=2019",Form127_Raw!$F$2:$F$1000,"&lt;=2024",Form127_Raw!$J$2:$J$1000,"&lt;&gt;")+COUNTIFS(Form127_Raw!$A$2:$A$1000,$A19,Form127_Raw!$F$2:$F$1000,"&gt;=2019",Form127_Raw!$F$2:$F$1000,"&lt;=2024",Form127_Raw!$O$2:$O$1000,"&lt;&gt;")+COUNTIFS(Form127_Raw!$A$2:$A$1000,$A19,Form127_Raw!$F$2:$F$1000,"&gt;=2019",Form127_Raw!$F$2:$F$1000,"&lt;=2024",Form127_Raw!$Q$2:$Q$1000,"&lt;&gt;")+COUNTIFS(Form127_Raw!$A$2:$A$1000,$A19,Form127_Raw!$F$2:$F$1000,"&gt;=2019",Form127_Raw!$F$2:$F$1000,"&lt;=2024",Form127_Raw!$R$2:$R$1000,"&lt;&gt;"))/30</f>
        <v>0</v>
      </c>
      <c r="T19" s="14" t="str">
        <f t="shared" si="4"/>
        <v>Excellent - FAA Backfill Pending</v>
      </c>
    </row>
    <row r="20" spans="1:20">
      <c r="A20" s="14" t="str">
        <f>Airport_Master!A13</f>
        <v>SEA</v>
      </c>
      <c r="B20" s="14" t="str">
        <f>Airport_Master!B13</f>
        <v>Seattle-Tacoma International</v>
      </c>
      <c r="C20" s="14" t="str">
        <f>Airport_Master!E13</f>
        <v>Large</v>
      </c>
      <c r="D20" s="14">
        <f>COUNTIFS(Form127_Raw!$A$2:$A$1000,$A20,Form127_Raw!$F$2:$F$1000,"&gt;=2019",Form127_Raw!$F$2:$F$1000,"&lt;=2024")</f>
        <v>6</v>
      </c>
      <c r="E20" s="29">
        <f t="shared" si="0"/>
        <v>1</v>
      </c>
      <c r="F20" s="14">
        <f>COUNTIFS(Form127_Raw!$A$2:$A$1000,$A20,Form127_Raw!$F$2:$F$1000,"&gt;=2019",Form127_Raw!$F$2:$F$1000,"&lt;=2024",Form127_Raw!$G$2:$G$1000,"&lt;&gt;")</f>
        <v>6</v>
      </c>
      <c r="G20" s="14">
        <f>COUNTIFS(Form127_Raw!$A$2:$A$1000,$A20,Form127_Raw!$F$2:$F$1000,"&gt;=2019",Form127_Raw!$F$2:$F$1000,"&lt;=2024",Form127_Raw!$H$2:$H$1000,"&lt;&gt;")</f>
        <v>6</v>
      </c>
      <c r="H20" s="14">
        <f>COUNTIFS(Form127_Raw!$A$2:$A$1000,$A20,Form127_Raw!$F$2:$F$1000,"&gt;=2019",Form127_Raw!$F$2:$F$1000,"&lt;=2024",Form127_Raw!$S$2:$S$1000,"&lt;&gt;")</f>
        <v>6</v>
      </c>
      <c r="I20" s="14">
        <f>COUNTIFS(Form127_Raw!$A$2:$A$1000,$A20,Form127_Raw!$F$2:$F$1000,"&gt;=2019",Form127_Raw!$F$2:$F$1000,"&lt;=2024",Form127_Raw!$T$2:$T$1000,"&lt;&gt;")</f>
        <v>6</v>
      </c>
      <c r="J20" s="14">
        <f>COUNTIFS(Form127_Raw!$A$2:$A$1000,$A20,Form127_Raw!$F$2:$F$1000,"&gt;=2019",Form127_Raw!$F$2:$F$1000,"&lt;=2024",Form127_Raw!$N$2:$N$1000,"&lt;&gt;")</f>
        <v>6</v>
      </c>
      <c r="K20" s="14">
        <f>COUNTIFS(Form127_Raw!$A$2:$A$1000,$A20,Form127_Raw!$F$2:$F$1000,"&gt;=2019",Form127_Raw!$F$2:$F$1000,"&lt;=2024",Form127_Raw!$M$2:$M$1000,"&lt;&gt;")</f>
        <v>6</v>
      </c>
      <c r="L20" s="14">
        <f>COUNTIFS(Form127_Raw!$A$2:$A$1000,$A20,Form127_Raw!$F$2:$F$1000,"&gt;=2019",Form127_Raw!$F$2:$F$1000,"&lt;=2024",Form127_Raw!$K$2:$K$1000,"&lt;&gt;")</f>
        <v>6</v>
      </c>
      <c r="M20" s="14">
        <f>COUNTIFS(Form127_Raw!$A$2:$A$1000,$A20,Form127_Raw!$F$2:$F$1000,"&gt;=2019",Form127_Raw!$F$2:$F$1000,"&lt;=2024",Form127_Raw!$L$2:$L$1000,"&lt;&gt;")</f>
        <v>6</v>
      </c>
      <c r="N20" s="14">
        <f>COUNTIFS(Form127_Raw!$A$2:$A$1000,$A20,Form127_Raw!$F$2:$F$1000,"&gt;=2019",Form127_Raw!$F$2:$F$1000,"&lt;=2024",Form127_Raw!$P$2:$P$1000,"&lt;&gt;")</f>
        <v>6</v>
      </c>
      <c r="O20" s="29">
        <f t="shared" si="1"/>
        <v>1</v>
      </c>
      <c r="P20" s="29">
        <f t="shared" si="2"/>
        <v>1</v>
      </c>
      <c r="Q20" s="14">
        <f>COUNTIFS(Form127_Raw!$A$2:$A$1000,$A20,Form127_Raw!$F$2:$F$1000,"&gt;=2019",Form127_Raw!$F$2:$F$1000,"&lt;=2024",Form127_Raw!$N$2:$N$1000,0)+COUNTIFS(Form127_Raw!$A$2:$A$1000,$A20,Form127_Raw!$F$2:$F$1000,"&gt;=2019",Form127_Raw!$F$2:$F$1000,"&lt;=2024",Form127_Raw!$M$2:$M$1000,0)+COUNTIFS(Form127_Raw!$A$2:$A$1000,$A20,Form127_Raw!$F$2:$F$1000,"&gt;=2019",Form127_Raw!$F$2:$F$1000,"&lt;=2024",Form127_Raw!$K$2:$K$1000,0)+COUNTIFS(Form127_Raw!$A$2:$A$1000,$A20,Form127_Raw!$F$2:$F$1000,"&gt;=2019",Form127_Raw!$F$2:$F$1000,"&lt;=2024",Form127_Raw!$L$2:$L$1000,0)+COUNTIFS(Form127_Raw!$A$2:$A$1000,$A20,Form127_Raw!$F$2:$F$1000,"&gt;=2019",Form127_Raw!$F$2:$F$1000,"&lt;=2024",Form127_Raw!$P$2:$P$1000,0)</f>
        <v>0</v>
      </c>
      <c r="R20" s="29">
        <f t="shared" si="3"/>
        <v>1</v>
      </c>
      <c r="S20" s="29">
        <f>(COUNTIFS(Form127_Raw!$A$2:$A$1000,$A20,Form127_Raw!$F$2:$F$1000,"&gt;=2019",Form127_Raw!$F$2:$F$1000,"&lt;=2024",Form127_Raw!$I$2:$I$1000,"&lt;&gt;")+COUNTIFS(Form127_Raw!$A$2:$A$1000,$A20,Form127_Raw!$F$2:$F$1000,"&gt;=2019",Form127_Raw!$F$2:$F$1000,"&lt;=2024",Form127_Raw!$J$2:$J$1000,"&lt;&gt;")+COUNTIFS(Form127_Raw!$A$2:$A$1000,$A20,Form127_Raw!$F$2:$F$1000,"&gt;=2019",Form127_Raw!$F$2:$F$1000,"&lt;=2024",Form127_Raw!$O$2:$O$1000,"&lt;&gt;")+COUNTIFS(Form127_Raw!$A$2:$A$1000,$A20,Form127_Raw!$F$2:$F$1000,"&gt;=2019",Form127_Raw!$F$2:$F$1000,"&lt;=2024",Form127_Raw!$Q$2:$Q$1000,"&lt;&gt;")+COUNTIFS(Form127_Raw!$A$2:$A$1000,$A20,Form127_Raw!$F$2:$F$1000,"&gt;=2019",Form127_Raw!$F$2:$F$1000,"&lt;=2024",Form127_Raw!$R$2:$R$1000,"&lt;&gt;"))/30</f>
        <v>0</v>
      </c>
      <c r="T20" s="14" t="str">
        <f t="shared" si="4"/>
        <v>Excellent - FAA Backfill Pending</v>
      </c>
    </row>
    <row r="21" spans="1:20">
      <c r="A21" s="14" t="str">
        <f>Airport_Master!A14</f>
        <v>SFO</v>
      </c>
      <c r="B21" s="14" t="str">
        <f>Airport_Master!B14</f>
        <v>San Francisco International</v>
      </c>
      <c r="C21" s="14" t="str">
        <f>Airport_Master!E14</f>
        <v>Large</v>
      </c>
      <c r="D21" s="14">
        <f>COUNTIFS(Form127_Raw!$A$2:$A$1000,$A21,Form127_Raw!$F$2:$F$1000,"&gt;=2019",Form127_Raw!$F$2:$F$1000,"&lt;=2024")</f>
        <v>6</v>
      </c>
      <c r="E21" s="29">
        <f t="shared" si="0"/>
        <v>1</v>
      </c>
      <c r="F21" s="14">
        <f>COUNTIFS(Form127_Raw!$A$2:$A$1000,$A21,Form127_Raw!$F$2:$F$1000,"&gt;=2019",Form127_Raw!$F$2:$F$1000,"&lt;=2024",Form127_Raw!$G$2:$G$1000,"&lt;&gt;")</f>
        <v>6</v>
      </c>
      <c r="G21" s="14">
        <f>COUNTIFS(Form127_Raw!$A$2:$A$1000,$A21,Form127_Raw!$F$2:$F$1000,"&gt;=2019",Form127_Raw!$F$2:$F$1000,"&lt;=2024",Form127_Raw!$H$2:$H$1000,"&lt;&gt;")</f>
        <v>6</v>
      </c>
      <c r="H21" s="14">
        <f>COUNTIFS(Form127_Raw!$A$2:$A$1000,$A21,Form127_Raw!$F$2:$F$1000,"&gt;=2019",Form127_Raw!$F$2:$F$1000,"&lt;=2024",Form127_Raw!$S$2:$S$1000,"&lt;&gt;")</f>
        <v>6</v>
      </c>
      <c r="I21" s="14">
        <f>COUNTIFS(Form127_Raw!$A$2:$A$1000,$A21,Form127_Raw!$F$2:$F$1000,"&gt;=2019",Form127_Raw!$F$2:$F$1000,"&lt;=2024",Form127_Raw!$T$2:$T$1000,"&lt;&gt;")</f>
        <v>6</v>
      </c>
      <c r="J21" s="14">
        <f>COUNTIFS(Form127_Raw!$A$2:$A$1000,$A21,Form127_Raw!$F$2:$F$1000,"&gt;=2019",Form127_Raw!$F$2:$F$1000,"&lt;=2024",Form127_Raw!$N$2:$N$1000,"&lt;&gt;")</f>
        <v>6</v>
      </c>
      <c r="K21" s="14">
        <f>COUNTIFS(Form127_Raw!$A$2:$A$1000,$A21,Form127_Raw!$F$2:$F$1000,"&gt;=2019",Form127_Raw!$F$2:$F$1000,"&lt;=2024",Form127_Raw!$M$2:$M$1000,"&lt;&gt;")</f>
        <v>6</v>
      </c>
      <c r="L21" s="14">
        <f>COUNTIFS(Form127_Raw!$A$2:$A$1000,$A21,Form127_Raw!$F$2:$F$1000,"&gt;=2019",Form127_Raw!$F$2:$F$1000,"&lt;=2024",Form127_Raw!$K$2:$K$1000,"&lt;&gt;")</f>
        <v>6</v>
      </c>
      <c r="M21" s="14">
        <f>COUNTIFS(Form127_Raw!$A$2:$A$1000,$A21,Form127_Raw!$F$2:$F$1000,"&gt;=2019",Form127_Raw!$F$2:$F$1000,"&lt;=2024",Form127_Raw!$L$2:$L$1000,"&lt;&gt;")</f>
        <v>6</v>
      </c>
      <c r="N21" s="14">
        <f>COUNTIFS(Form127_Raw!$A$2:$A$1000,$A21,Form127_Raw!$F$2:$F$1000,"&gt;=2019",Form127_Raw!$F$2:$F$1000,"&lt;=2024",Form127_Raw!$P$2:$P$1000,"&lt;&gt;")</f>
        <v>6</v>
      </c>
      <c r="O21" s="29">
        <f t="shared" si="1"/>
        <v>1</v>
      </c>
      <c r="P21" s="29">
        <f t="shared" si="2"/>
        <v>1</v>
      </c>
      <c r="Q21" s="14">
        <f>COUNTIFS(Form127_Raw!$A$2:$A$1000,$A21,Form127_Raw!$F$2:$F$1000,"&gt;=2019",Form127_Raw!$F$2:$F$1000,"&lt;=2024",Form127_Raw!$N$2:$N$1000,0)+COUNTIFS(Form127_Raw!$A$2:$A$1000,$A21,Form127_Raw!$F$2:$F$1000,"&gt;=2019",Form127_Raw!$F$2:$F$1000,"&lt;=2024",Form127_Raw!$M$2:$M$1000,0)+COUNTIFS(Form127_Raw!$A$2:$A$1000,$A21,Form127_Raw!$F$2:$F$1000,"&gt;=2019",Form127_Raw!$F$2:$F$1000,"&lt;=2024",Form127_Raw!$K$2:$K$1000,0)+COUNTIFS(Form127_Raw!$A$2:$A$1000,$A21,Form127_Raw!$F$2:$F$1000,"&gt;=2019",Form127_Raw!$F$2:$F$1000,"&lt;=2024",Form127_Raw!$L$2:$L$1000,0)+COUNTIFS(Form127_Raw!$A$2:$A$1000,$A21,Form127_Raw!$F$2:$F$1000,"&gt;=2019",Form127_Raw!$F$2:$F$1000,"&lt;=2024",Form127_Raw!$P$2:$P$1000,0)</f>
        <v>0</v>
      </c>
      <c r="R21" s="29">
        <f t="shared" si="3"/>
        <v>1</v>
      </c>
      <c r="S21" s="29">
        <f>(COUNTIFS(Form127_Raw!$A$2:$A$1000,$A21,Form127_Raw!$F$2:$F$1000,"&gt;=2019",Form127_Raw!$F$2:$F$1000,"&lt;=2024",Form127_Raw!$I$2:$I$1000,"&lt;&gt;")+COUNTIFS(Form127_Raw!$A$2:$A$1000,$A21,Form127_Raw!$F$2:$F$1000,"&gt;=2019",Form127_Raw!$F$2:$F$1000,"&lt;=2024",Form127_Raw!$J$2:$J$1000,"&lt;&gt;")+COUNTIFS(Form127_Raw!$A$2:$A$1000,$A21,Form127_Raw!$F$2:$F$1000,"&gt;=2019",Form127_Raw!$F$2:$F$1000,"&lt;=2024",Form127_Raw!$O$2:$O$1000,"&lt;&gt;")+COUNTIFS(Form127_Raw!$A$2:$A$1000,$A21,Form127_Raw!$F$2:$F$1000,"&gt;=2019",Form127_Raw!$F$2:$F$1000,"&lt;=2024",Form127_Raw!$Q$2:$Q$1000,"&lt;&gt;")+COUNTIFS(Form127_Raw!$A$2:$A$1000,$A21,Form127_Raw!$F$2:$F$1000,"&gt;=2019",Form127_Raw!$F$2:$F$1000,"&lt;=2024",Form127_Raw!$R$2:$R$1000,"&lt;&gt;"))/30</f>
        <v>0</v>
      </c>
      <c r="T21" s="14" t="str">
        <f t="shared" si="4"/>
        <v>Excellent - FAA Backfill Pending</v>
      </c>
    </row>
    <row r="22" spans="1:20">
      <c r="A22" s="14" t="str">
        <f>Airport_Master!A15</f>
        <v>EWR</v>
      </c>
      <c r="B22" s="14" t="str">
        <f>Airport_Master!B15</f>
        <v>Newark Liberty International</v>
      </c>
      <c r="C22" s="14" t="str">
        <f>Airport_Master!E15</f>
        <v>Large</v>
      </c>
      <c r="D22" s="14">
        <f>COUNTIFS(Form127_Raw!$A$2:$A$1000,$A22,Form127_Raw!$F$2:$F$1000,"&gt;=2019",Form127_Raw!$F$2:$F$1000,"&lt;=2024")</f>
        <v>6</v>
      </c>
      <c r="E22" s="29">
        <f t="shared" si="0"/>
        <v>1</v>
      </c>
      <c r="F22" s="14">
        <f>COUNTIFS(Form127_Raw!$A$2:$A$1000,$A22,Form127_Raw!$F$2:$F$1000,"&gt;=2019",Form127_Raw!$F$2:$F$1000,"&lt;=2024",Form127_Raw!$G$2:$G$1000,"&lt;&gt;")</f>
        <v>6</v>
      </c>
      <c r="G22" s="14">
        <f>COUNTIFS(Form127_Raw!$A$2:$A$1000,$A22,Form127_Raw!$F$2:$F$1000,"&gt;=2019",Form127_Raw!$F$2:$F$1000,"&lt;=2024",Form127_Raw!$H$2:$H$1000,"&lt;&gt;")</f>
        <v>6</v>
      </c>
      <c r="H22" s="14">
        <f>COUNTIFS(Form127_Raw!$A$2:$A$1000,$A22,Form127_Raw!$F$2:$F$1000,"&gt;=2019",Form127_Raw!$F$2:$F$1000,"&lt;=2024",Form127_Raw!$S$2:$S$1000,"&lt;&gt;")</f>
        <v>6</v>
      </c>
      <c r="I22" s="14">
        <f>COUNTIFS(Form127_Raw!$A$2:$A$1000,$A22,Form127_Raw!$F$2:$F$1000,"&gt;=2019",Form127_Raw!$F$2:$F$1000,"&lt;=2024",Form127_Raw!$T$2:$T$1000,"&lt;&gt;")</f>
        <v>6</v>
      </c>
      <c r="J22" s="14">
        <f>COUNTIFS(Form127_Raw!$A$2:$A$1000,$A22,Form127_Raw!$F$2:$F$1000,"&gt;=2019",Form127_Raw!$F$2:$F$1000,"&lt;=2024",Form127_Raw!$N$2:$N$1000,"&lt;&gt;")</f>
        <v>6</v>
      </c>
      <c r="K22" s="14">
        <f>COUNTIFS(Form127_Raw!$A$2:$A$1000,$A22,Form127_Raw!$F$2:$F$1000,"&gt;=2019",Form127_Raw!$F$2:$F$1000,"&lt;=2024",Form127_Raw!$M$2:$M$1000,"&lt;&gt;")</f>
        <v>6</v>
      </c>
      <c r="L22" s="14">
        <f>COUNTIFS(Form127_Raw!$A$2:$A$1000,$A22,Form127_Raw!$F$2:$F$1000,"&gt;=2019",Form127_Raw!$F$2:$F$1000,"&lt;=2024",Form127_Raw!$K$2:$K$1000,"&lt;&gt;")</f>
        <v>6</v>
      </c>
      <c r="M22" s="14">
        <f>COUNTIFS(Form127_Raw!$A$2:$A$1000,$A22,Form127_Raw!$F$2:$F$1000,"&gt;=2019",Form127_Raw!$F$2:$F$1000,"&lt;=2024",Form127_Raw!$L$2:$L$1000,"&lt;&gt;")</f>
        <v>6</v>
      </c>
      <c r="N22" s="14">
        <f>COUNTIFS(Form127_Raw!$A$2:$A$1000,$A22,Form127_Raw!$F$2:$F$1000,"&gt;=2019",Form127_Raw!$F$2:$F$1000,"&lt;=2024",Form127_Raw!$P$2:$P$1000,"&lt;&gt;")</f>
        <v>6</v>
      </c>
      <c r="O22" s="29">
        <f t="shared" si="1"/>
        <v>1</v>
      </c>
      <c r="P22" s="29">
        <f t="shared" si="2"/>
        <v>1</v>
      </c>
      <c r="Q22" s="14">
        <f>COUNTIFS(Form127_Raw!$A$2:$A$1000,$A22,Form127_Raw!$F$2:$F$1000,"&gt;=2019",Form127_Raw!$F$2:$F$1000,"&lt;=2024",Form127_Raw!$N$2:$N$1000,0)+COUNTIFS(Form127_Raw!$A$2:$A$1000,$A22,Form127_Raw!$F$2:$F$1000,"&gt;=2019",Form127_Raw!$F$2:$F$1000,"&lt;=2024",Form127_Raw!$M$2:$M$1000,0)+COUNTIFS(Form127_Raw!$A$2:$A$1000,$A22,Form127_Raw!$F$2:$F$1000,"&gt;=2019",Form127_Raw!$F$2:$F$1000,"&lt;=2024",Form127_Raw!$K$2:$K$1000,0)+COUNTIFS(Form127_Raw!$A$2:$A$1000,$A22,Form127_Raw!$F$2:$F$1000,"&gt;=2019",Form127_Raw!$F$2:$F$1000,"&lt;=2024",Form127_Raw!$L$2:$L$1000,0)+COUNTIFS(Form127_Raw!$A$2:$A$1000,$A22,Form127_Raw!$F$2:$F$1000,"&gt;=2019",Form127_Raw!$F$2:$F$1000,"&lt;=2024",Form127_Raw!$P$2:$P$1000,0)</f>
        <v>0</v>
      </c>
      <c r="R22" s="29">
        <f t="shared" si="3"/>
        <v>1</v>
      </c>
      <c r="S22" s="29">
        <f>(COUNTIFS(Form127_Raw!$A$2:$A$1000,$A22,Form127_Raw!$F$2:$F$1000,"&gt;=2019",Form127_Raw!$F$2:$F$1000,"&lt;=2024",Form127_Raw!$I$2:$I$1000,"&lt;&gt;")+COUNTIFS(Form127_Raw!$A$2:$A$1000,$A22,Form127_Raw!$F$2:$F$1000,"&gt;=2019",Form127_Raw!$F$2:$F$1000,"&lt;=2024",Form127_Raw!$J$2:$J$1000,"&lt;&gt;")+COUNTIFS(Form127_Raw!$A$2:$A$1000,$A22,Form127_Raw!$F$2:$F$1000,"&gt;=2019",Form127_Raw!$F$2:$F$1000,"&lt;=2024",Form127_Raw!$O$2:$O$1000,"&lt;&gt;")+COUNTIFS(Form127_Raw!$A$2:$A$1000,$A22,Form127_Raw!$F$2:$F$1000,"&gt;=2019",Form127_Raw!$F$2:$F$1000,"&lt;=2024",Form127_Raw!$Q$2:$Q$1000,"&lt;&gt;")+COUNTIFS(Form127_Raw!$A$2:$A$1000,$A22,Form127_Raw!$F$2:$F$1000,"&gt;=2019",Form127_Raw!$F$2:$F$1000,"&lt;=2024",Form127_Raw!$R$2:$R$1000,"&lt;&gt;"))/30</f>
        <v>0</v>
      </c>
      <c r="T22" s="14" t="str">
        <f t="shared" si="4"/>
        <v>Excellent - FAA Backfill Pending</v>
      </c>
    </row>
    <row r="23" spans="1:20">
      <c r="A23" s="14" t="str">
        <f>Airport_Master!A16</f>
        <v>IAH</v>
      </c>
      <c r="B23" s="14" t="str">
        <f>Airport_Master!B16</f>
        <v>George Bush Intcntl/Houston</v>
      </c>
      <c r="C23" s="14" t="str">
        <f>Airport_Master!E16</f>
        <v>Large</v>
      </c>
      <c r="D23" s="14">
        <f>COUNTIFS(Form127_Raw!$A$2:$A$1000,$A23,Form127_Raw!$F$2:$F$1000,"&gt;=2019",Form127_Raw!$F$2:$F$1000,"&lt;=2024")</f>
        <v>6</v>
      </c>
      <c r="E23" s="29">
        <f t="shared" si="0"/>
        <v>1</v>
      </c>
      <c r="F23" s="14">
        <f>COUNTIFS(Form127_Raw!$A$2:$A$1000,$A23,Form127_Raw!$F$2:$F$1000,"&gt;=2019",Form127_Raw!$F$2:$F$1000,"&lt;=2024",Form127_Raw!$G$2:$G$1000,"&lt;&gt;")</f>
        <v>6</v>
      </c>
      <c r="G23" s="14">
        <f>COUNTIFS(Form127_Raw!$A$2:$A$1000,$A23,Form127_Raw!$F$2:$F$1000,"&gt;=2019",Form127_Raw!$F$2:$F$1000,"&lt;=2024",Form127_Raw!$H$2:$H$1000,"&lt;&gt;")</f>
        <v>6</v>
      </c>
      <c r="H23" s="14">
        <f>COUNTIFS(Form127_Raw!$A$2:$A$1000,$A23,Form127_Raw!$F$2:$F$1000,"&gt;=2019",Form127_Raw!$F$2:$F$1000,"&lt;=2024",Form127_Raw!$S$2:$S$1000,"&lt;&gt;")</f>
        <v>6</v>
      </c>
      <c r="I23" s="14">
        <f>COUNTIFS(Form127_Raw!$A$2:$A$1000,$A23,Form127_Raw!$F$2:$F$1000,"&gt;=2019",Form127_Raw!$F$2:$F$1000,"&lt;=2024",Form127_Raw!$T$2:$T$1000,"&lt;&gt;")</f>
        <v>6</v>
      </c>
      <c r="J23" s="14">
        <f>COUNTIFS(Form127_Raw!$A$2:$A$1000,$A23,Form127_Raw!$F$2:$F$1000,"&gt;=2019",Form127_Raw!$F$2:$F$1000,"&lt;=2024",Form127_Raw!$N$2:$N$1000,"&lt;&gt;")</f>
        <v>6</v>
      </c>
      <c r="K23" s="14">
        <f>COUNTIFS(Form127_Raw!$A$2:$A$1000,$A23,Form127_Raw!$F$2:$F$1000,"&gt;=2019",Form127_Raw!$F$2:$F$1000,"&lt;=2024",Form127_Raw!$M$2:$M$1000,"&lt;&gt;")</f>
        <v>6</v>
      </c>
      <c r="L23" s="14">
        <f>COUNTIFS(Form127_Raw!$A$2:$A$1000,$A23,Form127_Raw!$F$2:$F$1000,"&gt;=2019",Form127_Raw!$F$2:$F$1000,"&lt;=2024",Form127_Raw!$K$2:$K$1000,"&lt;&gt;")</f>
        <v>6</v>
      </c>
      <c r="M23" s="14">
        <f>COUNTIFS(Form127_Raw!$A$2:$A$1000,$A23,Form127_Raw!$F$2:$F$1000,"&gt;=2019",Form127_Raw!$F$2:$F$1000,"&lt;=2024",Form127_Raw!$L$2:$L$1000,"&lt;&gt;")</f>
        <v>6</v>
      </c>
      <c r="N23" s="14">
        <f>COUNTIFS(Form127_Raw!$A$2:$A$1000,$A23,Form127_Raw!$F$2:$F$1000,"&gt;=2019",Form127_Raw!$F$2:$F$1000,"&lt;=2024",Form127_Raw!$P$2:$P$1000,"&lt;&gt;")</f>
        <v>6</v>
      </c>
      <c r="O23" s="29">
        <f t="shared" si="1"/>
        <v>1</v>
      </c>
      <c r="P23" s="29">
        <f t="shared" si="2"/>
        <v>1</v>
      </c>
      <c r="Q23" s="14">
        <f>COUNTIFS(Form127_Raw!$A$2:$A$1000,$A23,Form127_Raw!$F$2:$F$1000,"&gt;=2019",Form127_Raw!$F$2:$F$1000,"&lt;=2024",Form127_Raw!$N$2:$N$1000,0)+COUNTIFS(Form127_Raw!$A$2:$A$1000,$A23,Form127_Raw!$F$2:$F$1000,"&gt;=2019",Form127_Raw!$F$2:$F$1000,"&lt;=2024",Form127_Raw!$M$2:$M$1000,0)+COUNTIFS(Form127_Raw!$A$2:$A$1000,$A23,Form127_Raw!$F$2:$F$1000,"&gt;=2019",Form127_Raw!$F$2:$F$1000,"&lt;=2024",Form127_Raw!$K$2:$K$1000,0)+COUNTIFS(Form127_Raw!$A$2:$A$1000,$A23,Form127_Raw!$F$2:$F$1000,"&gt;=2019",Form127_Raw!$F$2:$F$1000,"&lt;=2024",Form127_Raw!$L$2:$L$1000,0)+COUNTIFS(Form127_Raw!$A$2:$A$1000,$A23,Form127_Raw!$F$2:$F$1000,"&gt;=2019",Form127_Raw!$F$2:$F$1000,"&lt;=2024",Form127_Raw!$P$2:$P$1000,0)</f>
        <v>0</v>
      </c>
      <c r="R23" s="29">
        <f t="shared" si="3"/>
        <v>1</v>
      </c>
      <c r="S23" s="29">
        <f>(COUNTIFS(Form127_Raw!$A$2:$A$1000,$A23,Form127_Raw!$F$2:$F$1000,"&gt;=2019",Form127_Raw!$F$2:$F$1000,"&lt;=2024",Form127_Raw!$I$2:$I$1000,"&lt;&gt;")+COUNTIFS(Form127_Raw!$A$2:$A$1000,$A23,Form127_Raw!$F$2:$F$1000,"&gt;=2019",Form127_Raw!$F$2:$F$1000,"&lt;=2024",Form127_Raw!$J$2:$J$1000,"&lt;&gt;")+COUNTIFS(Form127_Raw!$A$2:$A$1000,$A23,Form127_Raw!$F$2:$F$1000,"&gt;=2019",Form127_Raw!$F$2:$F$1000,"&lt;=2024",Form127_Raw!$O$2:$O$1000,"&lt;&gt;")+COUNTIFS(Form127_Raw!$A$2:$A$1000,$A23,Form127_Raw!$F$2:$F$1000,"&gt;=2019",Form127_Raw!$F$2:$F$1000,"&lt;=2024",Form127_Raw!$Q$2:$Q$1000,"&lt;&gt;")+COUNTIFS(Form127_Raw!$A$2:$A$1000,$A23,Form127_Raw!$F$2:$F$1000,"&gt;=2019",Form127_Raw!$F$2:$F$1000,"&lt;=2024",Form127_Raw!$R$2:$R$1000,"&lt;&gt;"))/30</f>
        <v>0</v>
      </c>
      <c r="T23" s="14" t="str">
        <f t="shared" si="4"/>
        <v>Excellent - FAA Backfill Pending</v>
      </c>
    </row>
    <row r="24" spans="1:20">
      <c r="A24" s="14" t="str">
        <f>Airport_Master!A17</f>
        <v>BOS</v>
      </c>
      <c r="B24" s="14" t="str">
        <f>Airport_Master!B17</f>
        <v>General Edward Lawrence Logan International</v>
      </c>
      <c r="C24" s="14" t="str">
        <f>Airport_Master!E17</f>
        <v>Large</v>
      </c>
      <c r="D24" s="14">
        <f>COUNTIFS(Form127_Raw!$A$2:$A$1000,$A24,Form127_Raw!$F$2:$F$1000,"&gt;=2019",Form127_Raw!$F$2:$F$1000,"&lt;=2024")</f>
        <v>6</v>
      </c>
      <c r="E24" s="29">
        <f t="shared" si="0"/>
        <v>1</v>
      </c>
      <c r="F24" s="14">
        <f>COUNTIFS(Form127_Raw!$A$2:$A$1000,$A24,Form127_Raw!$F$2:$F$1000,"&gt;=2019",Form127_Raw!$F$2:$F$1000,"&lt;=2024",Form127_Raw!$G$2:$G$1000,"&lt;&gt;")</f>
        <v>6</v>
      </c>
      <c r="G24" s="14">
        <f>COUNTIFS(Form127_Raw!$A$2:$A$1000,$A24,Form127_Raw!$F$2:$F$1000,"&gt;=2019",Form127_Raw!$F$2:$F$1000,"&lt;=2024",Form127_Raw!$H$2:$H$1000,"&lt;&gt;")</f>
        <v>6</v>
      </c>
      <c r="H24" s="14">
        <f>COUNTIFS(Form127_Raw!$A$2:$A$1000,$A24,Form127_Raw!$F$2:$F$1000,"&gt;=2019",Form127_Raw!$F$2:$F$1000,"&lt;=2024",Form127_Raw!$S$2:$S$1000,"&lt;&gt;")</f>
        <v>6</v>
      </c>
      <c r="I24" s="14">
        <f>COUNTIFS(Form127_Raw!$A$2:$A$1000,$A24,Form127_Raw!$F$2:$F$1000,"&gt;=2019",Form127_Raw!$F$2:$F$1000,"&lt;=2024",Form127_Raw!$T$2:$T$1000,"&lt;&gt;")</f>
        <v>6</v>
      </c>
      <c r="J24" s="14">
        <f>COUNTIFS(Form127_Raw!$A$2:$A$1000,$A24,Form127_Raw!$F$2:$F$1000,"&gt;=2019",Form127_Raw!$F$2:$F$1000,"&lt;=2024",Form127_Raw!$N$2:$N$1000,"&lt;&gt;")</f>
        <v>6</v>
      </c>
      <c r="K24" s="14">
        <f>COUNTIFS(Form127_Raw!$A$2:$A$1000,$A24,Form127_Raw!$F$2:$F$1000,"&gt;=2019",Form127_Raw!$F$2:$F$1000,"&lt;=2024",Form127_Raw!$M$2:$M$1000,"&lt;&gt;")</f>
        <v>6</v>
      </c>
      <c r="L24" s="14">
        <f>COUNTIFS(Form127_Raw!$A$2:$A$1000,$A24,Form127_Raw!$F$2:$F$1000,"&gt;=2019",Form127_Raw!$F$2:$F$1000,"&lt;=2024",Form127_Raw!$K$2:$K$1000,"&lt;&gt;")</f>
        <v>6</v>
      </c>
      <c r="M24" s="14">
        <f>COUNTIFS(Form127_Raw!$A$2:$A$1000,$A24,Form127_Raw!$F$2:$F$1000,"&gt;=2019",Form127_Raw!$F$2:$F$1000,"&lt;=2024",Form127_Raw!$L$2:$L$1000,"&lt;&gt;")</f>
        <v>6</v>
      </c>
      <c r="N24" s="14">
        <f>COUNTIFS(Form127_Raw!$A$2:$A$1000,$A24,Form127_Raw!$F$2:$F$1000,"&gt;=2019",Form127_Raw!$F$2:$F$1000,"&lt;=2024",Form127_Raw!$P$2:$P$1000,"&lt;&gt;")</f>
        <v>6</v>
      </c>
      <c r="O24" s="29">
        <f t="shared" si="1"/>
        <v>1</v>
      </c>
      <c r="P24" s="29">
        <f t="shared" si="2"/>
        <v>1</v>
      </c>
      <c r="Q24" s="14">
        <f>COUNTIFS(Form127_Raw!$A$2:$A$1000,$A24,Form127_Raw!$F$2:$F$1000,"&gt;=2019",Form127_Raw!$F$2:$F$1000,"&lt;=2024",Form127_Raw!$N$2:$N$1000,0)+COUNTIFS(Form127_Raw!$A$2:$A$1000,$A24,Form127_Raw!$F$2:$F$1000,"&gt;=2019",Form127_Raw!$F$2:$F$1000,"&lt;=2024",Form127_Raw!$M$2:$M$1000,0)+COUNTIFS(Form127_Raw!$A$2:$A$1000,$A24,Form127_Raw!$F$2:$F$1000,"&gt;=2019",Form127_Raw!$F$2:$F$1000,"&lt;=2024",Form127_Raw!$K$2:$K$1000,0)+COUNTIFS(Form127_Raw!$A$2:$A$1000,$A24,Form127_Raw!$F$2:$F$1000,"&gt;=2019",Form127_Raw!$F$2:$F$1000,"&lt;=2024",Form127_Raw!$L$2:$L$1000,0)+COUNTIFS(Form127_Raw!$A$2:$A$1000,$A24,Form127_Raw!$F$2:$F$1000,"&gt;=2019",Form127_Raw!$F$2:$F$1000,"&lt;=2024",Form127_Raw!$P$2:$P$1000,0)</f>
        <v>0</v>
      </c>
      <c r="R24" s="29">
        <f t="shared" si="3"/>
        <v>1</v>
      </c>
      <c r="S24" s="29">
        <f>(COUNTIFS(Form127_Raw!$A$2:$A$1000,$A24,Form127_Raw!$F$2:$F$1000,"&gt;=2019",Form127_Raw!$F$2:$F$1000,"&lt;=2024",Form127_Raw!$I$2:$I$1000,"&lt;&gt;")+COUNTIFS(Form127_Raw!$A$2:$A$1000,$A24,Form127_Raw!$F$2:$F$1000,"&gt;=2019",Form127_Raw!$F$2:$F$1000,"&lt;=2024",Form127_Raw!$J$2:$J$1000,"&lt;&gt;")+COUNTIFS(Form127_Raw!$A$2:$A$1000,$A24,Form127_Raw!$F$2:$F$1000,"&gt;=2019",Form127_Raw!$F$2:$F$1000,"&lt;=2024",Form127_Raw!$O$2:$O$1000,"&lt;&gt;")+COUNTIFS(Form127_Raw!$A$2:$A$1000,$A24,Form127_Raw!$F$2:$F$1000,"&gt;=2019",Form127_Raw!$F$2:$F$1000,"&lt;=2024",Form127_Raw!$Q$2:$Q$1000,"&lt;&gt;")+COUNTIFS(Form127_Raw!$A$2:$A$1000,$A24,Form127_Raw!$F$2:$F$1000,"&gt;=2019",Form127_Raw!$F$2:$F$1000,"&lt;=2024",Form127_Raw!$R$2:$R$1000,"&lt;&gt;"))/30</f>
        <v>0</v>
      </c>
      <c r="T24" s="14" t="str">
        <f t="shared" si="4"/>
        <v>Excellent - FAA Backfill Pending</v>
      </c>
    </row>
    <row r="25" spans="1:20" ht="28">
      <c r="A25" s="14" t="str">
        <f>Airport_Master!A18</f>
        <v>MSP</v>
      </c>
      <c r="B25" s="14" t="str">
        <f>Airport_Master!B18</f>
        <v>Minneapolis-St Paul International/Wold-Chamberlain</v>
      </c>
      <c r="C25" s="14" t="str">
        <f>Airport_Master!E18</f>
        <v>Large</v>
      </c>
      <c r="D25" s="14">
        <f>COUNTIFS(Form127_Raw!$A$2:$A$1000,$A25,Form127_Raw!$F$2:$F$1000,"&gt;=2019",Form127_Raw!$F$2:$F$1000,"&lt;=2024")</f>
        <v>6</v>
      </c>
      <c r="E25" s="29">
        <f t="shared" si="0"/>
        <v>1</v>
      </c>
      <c r="F25" s="14">
        <f>COUNTIFS(Form127_Raw!$A$2:$A$1000,$A25,Form127_Raw!$F$2:$F$1000,"&gt;=2019",Form127_Raw!$F$2:$F$1000,"&lt;=2024",Form127_Raw!$G$2:$G$1000,"&lt;&gt;")</f>
        <v>6</v>
      </c>
      <c r="G25" s="14">
        <f>COUNTIFS(Form127_Raw!$A$2:$A$1000,$A25,Form127_Raw!$F$2:$F$1000,"&gt;=2019",Form127_Raw!$F$2:$F$1000,"&lt;=2024",Form127_Raw!$H$2:$H$1000,"&lt;&gt;")</f>
        <v>6</v>
      </c>
      <c r="H25" s="14">
        <f>COUNTIFS(Form127_Raw!$A$2:$A$1000,$A25,Form127_Raw!$F$2:$F$1000,"&gt;=2019",Form127_Raw!$F$2:$F$1000,"&lt;=2024",Form127_Raw!$S$2:$S$1000,"&lt;&gt;")</f>
        <v>6</v>
      </c>
      <c r="I25" s="14">
        <f>COUNTIFS(Form127_Raw!$A$2:$A$1000,$A25,Form127_Raw!$F$2:$F$1000,"&gt;=2019",Form127_Raw!$F$2:$F$1000,"&lt;=2024",Form127_Raw!$T$2:$T$1000,"&lt;&gt;")</f>
        <v>6</v>
      </c>
      <c r="J25" s="14">
        <f>COUNTIFS(Form127_Raw!$A$2:$A$1000,$A25,Form127_Raw!$F$2:$F$1000,"&gt;=2019",Form127_Raw!$F$2:$F$1000,"&lt;=2024",Form127_Raw!$N$2:$N$1000,"&lt;&gt;")</f>
        <v>6</v>
      </c>
      <c r="K25" s="14">
        <f>COUNTIFS(Form127_Raw!$A$2:$A$1000,$A25,Form127_Raw!$F$2:$F$1000,"&gt;=2019",Form127_Raw!$F$2:$F$1000,"&lt;=2024",Form127_Raw!$M$2:$M$1000,"&lt;&gt;")</f>
        <v>6</v>
      </c>
      <c r="L25" s="14">
        <f>COUNTIFS(Form127_Raw!$A$2:$A$1000,$A25,Form127_Raw!$F$2:$F$1000,"&gt;=2019",Form127_Raw!$F$2:$F$1000,"&lt;=2024",Form127_Raw!$K$2:$K$1000,"&lt;&gt;")</f>
        <v>6</v>
      </c>
      <c r="M25" s="14">
        <f>COUNTIFS(Form127_Raw!$A$2:$A$1000,$A25,Form127_Raw!$F$2:$F$1000,"&gt;=2019",Form127_Raw!$F$2:$F$1000,"&lt;=2024",Form127_Raw!$L$2:$L$1000,"&lt;&gt;")</f>
        <v>6</v>
      </c>
      <c r="N25" s="14">
        <f>COUNTIFS(Form127_Raw!$A$2:$A$1000,$A25,Form127_Raw!$F$2:$F$1000,"&gt;=2019",Form127_Raw!$F$2:$F$1000,"&lt;=2024",Form127_Raw!$P$2:$P$1000,"&lt;&gt;")</f>
        <v>6</v>
      </c>
      <c r="O25" s="29">
        <f t="shared" si="1"/>
        <v>1</v>
      </c>
      <c r="P25" s="29">
        <f t="shared" si="2"/>
        <v>1</v>
      </c>
      <c r="Q25" s="14">
        <f>COUNTIFS(Form127_Raw!$A$2:$A$1000,$A25,Form127_Raw!$F$2:$F$1000,"&gt;=2019",Form127_Raw!$F$2:$F$1000,"&lt;=2024",Form127_Raw!$N$2:$N$1000,0)+COUNTIFS(Form127_Raw!$A$2:$A$1000,$A25,Form127_Raw!$F$2:$F$1000,"&gt;=2019",Form127_Raw!$F$2:$F$1000,"&lt;=2024",Form127_Raw!$M$2:$M$1000,0)+COUNTIFS(Form127_Raw!$A$2:$A$1000,$A25,Form127_Raw!$F$2:$F$1000,"&gt;=2019",Form127_Raw!$F$2:$F$1000,"&lt;=2024",Form127_Raw!$K$2:$K$1000,0)+COUNTIFS(Form127_Raw!$A$2:$A$1000,$A25,Form127_Raw!$F$2:$F$1000,"&gt;=2019",Form127_Raw!$F$2:$F$1000,"&lt;=2024",Form127_Raw!$L$2:$L$1000,0)+COUNTIFS(Form127_Raw!$A$2:$A$1000,$A25,Form127_Raw!$F$2:$F$1000,"&gt;=2019",Form127_Raw!$F$2:$F$1000,"&lt;=2024",Form127_Raw!$P$2:$P$1000,0)</f>
        <v>0</v>
      </c>
      <c r="R25" s="29">
        <f t="shared" si="3"/>
        <v>1</v>
      </c>
      <c r="S25" s="29">
        <f>(COUNTIFS(Form127_Raw!$A$2:$A$1000,$A25,Form127_Raw!$F$2:$F$1000,"&gt;=2019",Form127_Raw!$F$2:$F$1000,"&lt;=2024",Form127_Raw!$I$2:$I$1000,"&lt;&gt;")+COUNTIFS(Form127_Raw!$A$2:$A$1000,$A25,Form127_Raw!$F$2:$F$1000,"&gt;=2019",Form127_Raw!$F$2:$F$1000,"&lt;=2024",Form127_Raw!$J$2:$J$1000,"&lt;&gt;")+COUNTIFS(Form127_Raw!$A$2:$A$1000,$A25,Form127_Raw!$F$2:$F$1000,"&gt;=2019",Form127_Raw!$F$2:$F$1000,"&lt;=2024",Form127_Raw!$O$2:$O$1000,"&lt;&gt;")+COUNTIFS(Form127_Raw!$A$2:$A$1000,$A25,Form127_Raw!$F$2:$F$1000,"&gt;=2019",Form127_Raw!$F$2:$F$1000,"&lt;=2024",Form127_Raw!$Q$2:$Q$1000,"&lt;&gt;")+COUNTIFS(Form127_Raw!$A$2:$A$1000,$A25,Form127_Raw!$F$2:$F$1000,"&gt;=2019",Form127_Raw!$F$2:$F$1000,"&lt;=2024",Form127_Raw!$R$2:$R$1000,"&lt;&gt;"))/30</f>
        <v>0</v>
      </c>
      <c r="T25" s="14" t="str">
        <f t="shared" si="4"/>
        <v>Excellent - FAA Backfill Pending</v>
      </c>
    </row>
    <row r="26" spans="1:20">
      <c r="A26" s="14" t="str">
        <f>Airport_Master!A19</f>
        <v>FLL</v>
      </c>
      <c r="B26" s="14" t="str">
        <f>Airport_Master!B19</f>
        <v>Fort Lauderdale/Hollywood International</v>
      </c>
      <c r="C26" s="14" t="str">
        <f>Airport_Master!E19</f>
        <v>Large</v>
      </c>
      <c r="D26" s="14">
        <f>COUNTIFS(Form127_Raw!$A$2:$A$1000,$A26,Form127_Raw!$F$2:$F$1000,"&gt;=2019",Form127_Raw!$F$2:$F$1000,"&lt;=2024")</f>
        <v>6</v>
      </c>
      <c r="E26" s="29">
        <f t="shared" si="0"/>
        <v>1</v>
      </c>
      <c r="F26" s="14">
        <f>COUNTIFS(Form127_Raw!$A$2:$A$1000,$A26,Form127_Raw!$F$2:$F$1000,"&gt;=2019",Form127_Raw!$F$2:$F$1000,"&lt;=2024",Form127_Raw!$G$2:$G$1000,"&lt;&gt;")</f>
        <v>6</v>
      </c>
      <c r="G26" s="14">
        <f>COUNTIFS(Form127_Raw!$A$2:$A$1000,$A26,Form127_Raw!$F$2:$F$1000,"&gt;=2019",Form127_Raw!$F$2:$F$1000,"&lt;=2024",Form127_Raw!$H$2:$H$1000,"&lt;&gt;")</f>
        <v>6</v>
      </c>
      <c r="H26" s="14">
        <f>COUNTIFS(Form127_Raw!$A$2:$A$1000,$A26,Form127_Raw!$F$2:$F$1000,"&gt;=2019",Form127_Raw!$F$2:$F$1000,"&lt;=2024",Form127_Raw!$S$2:$S$1000,"&lt;&gt;")</f>
        <v>6</v>
      </c>
      <c r="I26" s="14">
        <f>COUNTIFS(Form127_Raw!$A$2:$A$1000,$A26,Form127_Raw!$F$2:$F$1000,"&gt;=2019",Form127_Raw!$F$2:$F$1000,"&lt;=2024",Form127_Raw!$T$2:$T$1000,"&lt;&gt;")</f>
        <v>6</v>
      </c>
      <c r="J26" s="14">
        <f>COUNTIFS(Form127_Raw!$A$2:$A$1000,$A26,Form127_Raw!$F$2:$F$1000,"&gt;=2019",Form127_Raw!$F$2:$F$1000,"&lt;=2024",Form127_Raw!$N$2:$N$1000,"&lt;&gt;")</f>
        <v>6</v>
      </c>
      <c r="K26" s="14">
        <f>COUNTIFS(Form127_Raw!$A$2:$A$1000,$A26,Form127_Raw!$F$2:$F$1000,"&gt;=2019",Form127_Raw!$F$2:$F$1000,"&lt;=2024",Form127_Raw!$M$2:$M$1000,"&lt;&gt;")</f>
        <v>6</v>
      </c>
      <c r="L26" s="14">
        <f>COUNTIFS(Form127_Raw!$A$2:$A$1000,$A26,Form127_Raw!$F$2:$F$1000,"&gt;=2019",Form127_Raw!$F$2:$F$1000,"&lt;=2024",Form127_Raw!$K$2:$K$1000,"&lt;&gt;")</f>
        <v>6</v>
      </c>
      <c r="M26" s="14">
        <f>COUNTIFS(Form127_Raw!$A$2:$A$1000,$A26,Form127_Raw!$F$2:$F$1000,"&gt;=2019",Form127_Raw!$F$2:$F$1000,"&lt;=2024",Form127_Raw!$L$2:$L$1000,"&lt;&gt;")</f>
        <v>6</v>
      </c>
      <c r="N26" s="14">
        <f>COUNTIFS(Form127_Raw!$A$2:$A$1000,$A26,Form127_Raw!$F$2:$F$1000,"&gt;=2019",Form127_Raw!$F$2:$F$1000,"&lt;=2024",Form127_Raw!$P$2:$P$1000,"&lt;&gt;")</f>
        <v>6</v>
      </c>
      <c r="O26" s="29">
        <f t="shared" si="1"/>
        <v>1</v>
      </c>
      <c r="P26" s="29">
        <f t="shared" si="2"/>
        <v>1</v>
      </c>
      <c r="Q26" s="14">
        <f>COUNTIFS(Form127_Raw!$A$2:$A$1000,$A26,Form127_Raw!$F$2:$F$1000,"&gt;=2019",Form127_Raw!$F$2:$F$1000,"&lt;=2024",Form127_Raw!$N$2:$N$1000,0)+COUNTIFS(Form127_Raw!$A$2:$A$1000,$A26,Form127_Raw!$F$2:$F$1000,"&gt;=2019",Form127_Raw!$F$2:$F$1000,"&lt;=2024",Form127_Raw!$M$2:$M$1000,0)+COUNTIFS(Form127_Raw!$A$2:$A$1000,$A26,Form127_Raw!$F$2:$F$1000,"&gt;=2019",Form127_Raw!$F$2:$F$1000,"&lt;=2024",Form127_Raw!$K$2:$K$1000,0)+COUNTIFS(Form127_Raw!$A$2:$A$1000,$A26,Form127_Raw!$F$2:$F$1000,"&gt;=2019",Form127_Raw!$F$2:$F$1000,"&lt;=2024",Form127_Raw!$L$2:$L$1000,0)+COUNTIFS(Form127_Raw!$A$2:$A$1000,$A26,Form127_Raw!$F$2:$F$1000,"&gt;=2019",Form127_Raw!$F$2:$F$1000,"&lt;=2024",Form127_Raw!$P$2:$P$1000,0)</f>
        <v>0</v>
      </c>
      <c r="R26" s="29">
        <f t="shared" si="3"/>
        <v>1</v>
      </c>
      <c r="S26" s="29">
        <f>(COUNTIFS(Form127_Raw!$A$2:$A$1000,$A26,Form127_Raw!$F$2:$F$1000,"&gt;=2019",Form127_Raw!$F$2:$F$1000,"&lt;=2024",Form127_Raw!$I$2:$I$1000,"&lt;&gt;")+COUNTIFS(Form127_Raw!$A$2:$A$1000,$A26,Form127_Raw!$F$2:$F$1000,"&gt;=2019",Form127_Raw!$F$2:$F$1000,"&lt;=2024",Form127_Raw!$J$2:$J$1000,"&lt;&gt;")+COUNTIFS(Form127_Raw!$A$2:$A$1000,$A26,Form127_Raw!$F$2:$F$1000,"&gt;=2019",Form127_Raw!$F$2:$F$1000,"&lt;=2024",Form127_Raw!$O$2:$O$1000,"&lt;&gt;")+COUNTIFS(Form127_Raw!$A$2:$A$1000,$A26,Form127_Raw!$F$2:$F$1000,"&gt;=2019",Form127_Raw!$F$2:$F$1000,"&lt;=2024",Form127_Raw!$Q$2:$Q$1000,"&lt;&gt;")+COUNTIFS(Form127_Raw!$A$2:$A$1000,$A26,Form127_Raw!$F$2:$F$1000,"&gt;=2019",Form127_Raw!$F$2:$F$1000,"&lt;=2024",Form127_Raw!$R$2:$R$1000,"&lt;&gt;"))/30</f>
        <v>0</v>
      </c>
      <c r="T26" s="14" t="str">
        <f t="shared" si="4"/>
        <v>Excellent - FAA Backfill Pending</v>
      </c>
    </row>
    <row r="27" spans="1:20">
      <c r="A27" s="14" t="str">
        <f>Airport_Master!A20</f>
        <v>LGA</v>
      </c>
      <c r="B27" s="14" t="str">
        <f>Airport_Master!B20</f>
        <v>Laguardia</v>
      </c>
      <c r="C27" s="14" t="str">
        <f>Airport_Master!E20</f>
        <v>Large</v>
      </c>
      <c r="D27" s="14">
        <f>COUNTIFS(Form127_Raw!$A$2:$A$1000,$A27,Form127_Raw!$F$2:$F$1000,"&gt;=2019",Form127_Raw!$F$2:$F$1000,"&lt;=2024")</f>
        <v>6</v>
      </c>
      <c r="E27" s="29">
        <f t="shared" si="0"/>
        <v>1</v>
      </c>
      <c r="F27" s="14">
        <f>COUNTIFS(Form127_Raw!$A$2:$A$1000,$A27,Form127_Raw!$F$2:$F$1000,"&gt;=2019",Form127_Raw!$F$2:$F$1000,"&lt;=2024",Form127_Raw!$G$2:$G$1000,"&lt;&gt;")</f>
        <v>6</v>
      </c>
      <c r="G27" s="14">
        <f>COUNTIFS(Form127_Raw!$A$2:$A$1000,$A27,Form127_Raw!$F$2:$F$1000,"&gt;=2019",Form127_Raw!$F$2:$F$1000,"&lt;=2024",Form127_Raw!$H$2:$H$1000,"&lt;&gt;")</f>
        <v>6</v>
      </c>
      <c r="H27" s="14">
        <f>COUNTIFS(Form127_Raw!$A$2:$A$1000,$A27,Form127_Raw!$F$2:$F$1000,"&gt;=2019",Form127_Raw!$F$2:$F$1000,"&lt;=2024",Form127_Raw!$S$2:$S$1000,"&lt;&gt;")</f>
        <v>6</v>
      </c>
      <c r="I27" s="14">
        <f>COUNTIFS(Form127_Raw!$A$2:$A$1000,$A27,Form127_Raw!$F$2:$F$1000,"&gt;=2019",Form127_Raw!$F$2:$F$1000,"&lt;=2024",Form127_Raw!$T$2:$T$1000,"&lt;&gt;")</f>
        <v>6</v>
      </c>
      <c r="J27" s="14">
        <f>COUNTIFS(Form127_Raw!$A$2:$A$1000,$A27,Form127_Raw!$F$2:$F$1000,"&gt;=2019",Form127_Raw!$F$2:$F$1000,"&lt;=2024",Form127_Raw!$N$2:$N$1000,"&lt;&gt;")</f>
        <v>6</v>
      </c>
      <c r="K27" s="14">
        <f>COUNTIFS(Form127_Raw!$A$2:$A$1000,$A27,Form127_Raw!$F$2:$F$1000,"&gt;=2019",Form127_Raw!$F$2:$F$1000,"&lt;=2024",Form127_Raw!$M$2:$M$1000,"&lt;&gt;")</f>
        <v>6</v>
      </c>
      <c r="L27" s="14">
        <f>COUNTIFS(Form127_Raw!$A$2:$A$1000,$A27,Form127_Raw!$F$2:$F$1000,"&gt;=2019",Form127_Raw!$F$2:$F$1000,"&lt;=2024",Form127_Raw!$K$2:$K$1000,"&lt;&gt;")</f>
        <v>6</v>
      </c>
      <c r="M27" s="14">
        <f>COUNTIFS(Form127_Raw!$A$2:$A$1000,$A27,Form127_Raw!$F$2:$F$1000,"&gt;=2019",Form127_Raw!$F$2:$F$1000,"&lt;=2024",Form127_Raw!$L$2:$L$1000,"&lt;&gt;")</f>
        <v>6</v>
      </c>
      <c r="N27" s="14">
        <f>COUNTIFS(Form127_Raw!$A$2:$A$1000,$A27,Form127_Raw!$F$2:$F$1000,"&gt;=2019",Form127_Raw!$F$2:$F$1000,"&lt;=2024",Form127_Raw!$P$2:$P$1000,"&lt;&gt;")</f>
        <v>6</v>
      </c>
      <c r="O27" s="29">
        <f t="shared" si="1"/>
        <v>1</v>
      </c>
      <c r="P27" s="29">
        <f t="shared" si="2"/>
        <v>1</v>
      </c>
      <c r="Q27" s="14">
        <f>COUNTIFS(Form127_Raw!$A$2:$A$1000,$A27,Form127_Raw!$F$2:$F$1000,"&gt;=2019",Form127_Raw!$F$2:$F$1000,"&lt;=2024",Form127_Raw!$N$2:$N$1000,0)+COUNTIFS(Form127_Raw!$A$2:$A$1000,$A27,Form127_Raw!$F$2:$F$1000,"&gt;=2019",Form127_Raw!$F$2:$F$1000,"&lt;=2024",Form127_Raw!$M$2:$M$1000,0)+COUNTIFS(Form127_Raw!$A$2:$A$1000,$A27,Form127_Raw!$F$2:$F$1000,"&gt;=2019",Form127_Raw!$F$2:$F$1000,"&lt;=2024",Form127_Raw!$K$2:$K$1000,0)+COUNTIFS(Form127_Raw!$A$2:$A$1000,$A27,Form127_Raw!$F$2:$F$1000,"&gt;=2019",Form127_Raw!$F$2:$F$1000,"&lt;=2024",Form127_Raw!$L$2:$L$1000,0)+COUNTIFS(Form127_Raw!$A$2:$A$1000,$A27,Form127_Raw!$F$2:$F$1000,"&gt;=2019",Form127_Raw!$F$2:$F$1000,"&lt;=2024",Form127_Raw!$P$2:$P$1000,0)</f>
        <v>0</v>
      </c>
      <c r="R27" s="29">
        <f t="shared" si="3"/>
        <v>1</v>
      </c>
      <c r="S27" s="29">
        <f>(COUNTIFS(Form127_Raw!$A$2:$A$1000,$A27,Form127_Raw!$F$2:$F$1000,"&gt;=2019",Form127_Raw!$F$2:$F$1000,"&lt;=2024",Form127_Raw!$I$2:$I$1000,"&lt;&gt;")+COUNTIFS(Form127_Raw!$A$2:$A$1000,$A27,Form127_Raw!$F$2:$F$1000,"&gt;=2019",Form127_Raw!$F$2:$F$1000,"&lt;=2024",Form127_Raw!$J$2:$J$1000,"&lt;&gt;")+COUNTIFS(Form127_Raw!$A$2:$A$1000,$A27,Form127_Raw!$F$2:$F$1000,"&gt;=2019",Form127_Raw!$F$2:$F$1000,"&lt;=2024",Form127_Raw!$O$2:$O$1000,"&lt;&gt;")+COUNTIFS(Form127_Raw!$A$2:$A$1000,$A27,Form127_Raw!$F$2:$F$1000,"&gt;=2019",Form127_Raw!$F$2:$F$1000,"&lt;=2024",Form127_Raw!$Q$2:$Q$1000,"&lt;&gt;")+COUNTIFS(Form127_Raw!$A$2:$A$1000,$A27,Form127_Raw!$F$2:$F$1000,"&gt;=2019",Form127_Raw!$F$2:$F$1000,"&lt;=2024",Form127_Raw!$R$2:$R$1000,"&lt;&gt;"))/30</f>
        <v>0</v>
      </c>
      <c r="T27" s="14" t="str">
        <f t="shared" si="4"/>
        <v>Excellent - FAA Backfill Pending</v>
      </c>
    </row>
    <row r="28" spans="1:20">
      <c r="A28" s="14" t="str">
        <f>Airport_Master!A21</f>
        <v>DTW</v>
      </c>
      <c r="B28" s="14" t="str">
        <f>Airport_Master!B21</f>
        <v>Detroit Metro Wayne County</v>
      </c>
      <c r="C28" s="14" t="str">
        <f>Airport_Master!E21</f>
        <v>Large</v>
      </c>
      <c r="D28" s="14">
        <f>COUNTIFS(Form127_Raw!$A$2:$A$1000,$A28,Form127_Raw!$F$2:$F$1000,"&gt;=2019",Form127_Raw!$F$2:$F$1000,"&lt;=2024")</f>
        <v>6</v>
      </c>
      <c r="E28" s="29">
        <f t="shared" si="0"/>
        <v>1</v>
      </c>
      <c r="F28" s="14">
        <f>COUNTIFS(Form127_Raw!$A$2:$A$1000,$A28,Form127_Raw!$F$2:$F$1000,"&gt;=2019",Form127_Raw!$F$2:$F$1000,"&lt;=2024",Form127_Raw!$G$2:$G$1000,"&lt;&gt;")</f>
        <v>6</v>
      </c>
      <c r="G28" s="14">
        <f>COUNTIFS(Form127_Raw!$A$2:$A$1000,$A28,Form127_Raw!$F$2:$F$1000,"&gt;=2019",Form127_Raw!$F$2:$F$1000,"&lt;=2024",Form127_Raw!$H$2:$H$1000,"&lt;&gt;")</f>
        <v>6</v>
      </c>
      <c r="H28" s="14">
        <f>COUNTIFS(Form127_Raw!$A$2:$A$1000,$A28,Form127_Raw!$F$2:$F$1000,"&gt;=2019",Form127_Raw!$F$2:$F$1000,"&lt;=2024",Form127_Raw!$S$2:$S$1000,"&lt;&gt;")</f>
        <v>6</v>
      </c>
      <c r="I28" s="14">
        <f>COUNTIFS(Form127_Raw!$A$2:$A$1000,$A28,Form127_Raw!$F$2:$F$1000,"&gt;=2019",Form127_Raw!$F$2:$F$1000,"&lt;=2024",Form127_Raw!$T$2:$T$1000,"&lt;&gt;")</f>
        <v>6</v>
      </c>
      <c r="J28" s="14">
        <f>COUNTIFS(Form127_Raw!$A$2:$A$1000,$A28,Form127_Raw!$F$2:$F$1000,"&gt;=2019",Form127_Raw!$F$2:$F$1000,"&lt;=2024",Form127_Raw!$N$2:$N$1000,"&lt;&gt;")</f>
        <v>6</v>
      </c>
      <c r="K28" s="14">
        <f>COUNTIFS(Form127_Raw!$A$2:$A$1000,$A28,Form127_Raw!$F$2:$F$1000,"&gt;=2019",Form127_Raw!$F$2:$F$1000,"&lt;=2024",Form127_Raw!$M$2:$M$1000,"&lt;&gt;")</f>
        <v>6</v>
      </c>
      <c r="L28" s="14">
        <f>COUNTIFS(Form127_Raw!$A$2:$A$1000,$A28,Form127_Raw!$F$2:$F$1000,"&gt;=2019",Form127_Raw!$F$2:$F$1000,"&lt;=2024",Form127_Raw!$K$2:$K$1000,"&lt;&gt;")</f>
        <v>6</v>
      </c>
      <c r="M28" s="14">
        <f>COUNTIFS(Form127_Raw!$A$2:$A$1000,$A28,Form127_Raw!$F$2:$F$1000,"&gt;=2019",Form127_Raw!$F$2:$F$1000,"&lt;=2024",Form127_Raw!$L$2:$L$1000,"&lt;&gt;")</f>
        <v>6</v>
      </c>
      <c r="N28" s="14">
        <f>COUNTIFS(Form127_Raw!$A$2:$A$1000,$A28,Form127_Raw!$F$2:$F$1000,"&gt;=2019",Form127_Raw!$F$2:$F$1000,"&lt;=2024",Form127_Raw!$P$2:$P$1000,"&lt;&gt;")</f>
        <v>6</v>
      </c>
      <c r="O28" s="29">
        <f t="shared" si="1"/>
        <v>1</v>
      </c>
      <c r="P28" s="29">
        <f t="shared" si="2"/>
        <v>1</v>
      </c>
      <c r="Q28" s="14">
        <f>COUNTIFS(Form127_Raw!$A$2:$A$1000,$A28,Form127_Raw!$F$2:$F$1000,"&gt;=2019",Form127_Raw!$F$2:$F$1000,"&lt;=2024",Form127_Raw!$N$2:$N$1000,0)+COUNTIFS(Form127_Raw!$A$2:$A$1000,$A28,Form127_Raw!$F$2:$F$1000,"&gt;=2019",Form127_Raw!$F$2:$F$1000,"&lt;=2024",Form127_Raw!$M$2:$M$1000,0)+COUNTIFS(Form127_Raw!$A$2:$A$1000,$A28,Form127_Raw!$F$2:$F$1000,"&gt;=2019",Form127_Raw!$F$2:$F$1000,"&lt;=2024",Form127_Raw!$K$2:$K$1000,0)+COUNTIFS(Form127_Raw!$A$2:$A$1000,$A28,Form127_Raw!$F$2:$F$1000,"&gt;=2019",Form127_Raw!$F$2:$F$1000,"&lt;=2024",Form127_Raw!$L$2:$L$1000,0)+COUNTIFS(Form127_Raw!$A$2:$A$1000,$A28,Form127_Raw!$F$2:$F$1000,"&gt;=2019",Form127_Raw!$F$2:$F$1000,"&lt;=2024",Form127_Raw!$P$2:$P$1000,0)</f>
        <v>0</v>
      </c>
      <c r="R28" s="29">
        <f t="shared" si="3"/>
        <v>1</v>
      </c>
      <c r="S28" s="29">
        <f>(COUNTIFS(Form127_Raw!$A$2:$A$1000,$A28,Form127_Raw!$F$2:$F$1000,"&gt;=2019",Form127_Raw!$F$2:$F$1000,"&lt;=2024",Form127_Raw!$I$2:$I$1000,"&lt;&gt;")+COUNTIFS(Form127_Raw!$A$2:$A$1000,$A28,Form127_Raw!$F$2:$F$1000,"&gt;=2019",Form127_Raw!$F$2:$F$1000,"&lt;=2024",Form127_Raw!$J$2:$J$1000,"&lt;&gt;")+COUNTIFS(Form127_Raw!$A$2:$A$1000,$A28,Form127_Raw!$F$2:$F$1000,"&gt;=2019",Form127_Raw!$F$2:$F$1000,"&lt;=2024",Form127_Raw!$O$2:$O$1000,"&lt;&gt;")+COUNTIFS(Form127_Raw!$A$2:$A$1000,$A28,Form127_Raw!$F$2:$F$1000,"&gt;=2019",Form127_Raw!$F$2:$F$1000,"&lt;=2024",Form127_Raw!$Q$2:$Q$1000,"&lt;&gt;")+COUNTIFS(Form127_Raw!$A$2:$A$1000,$A28,Form127_Raw!$F$2:$F$1000,"&gt;=2019",Form127_Raw!$F$2:$F$1000,"&lt;=2024",Form127_Raw!$R$2:$R$1000,"&lt;&gt;"))/30</f>
        <v>0</v>
      </c>
      <c r="T28" s="14" t="str">
        <f t="shared" si="4"/>
        <v>Excellent - FAA Backfill Pending</v>
      </c>
    </row>
    <row r="29" spans="1:20">
      <c r="A29" s="14" t="str">
        <f>Airport_Master!A22</f>
        <v>PHL</v>
      </c>
      <c r="B29" s="14" t="str">
        <f>Airport_Master!B22</f>
        <v>Philadelphia International</v>
      </c>
      <c r="C29" s="14" t="str">
        <f>Airport_Master!E22</f>
        <v>Large</v>
      </c>
      <c r="D29" s="14">
        <f>COUNTIFS(Form127_Raw!$A$2:$A$1000,$A29,Form127_Raw!$F$2:$F$1000,"&gt;=2019",Form127_Raw!$F$2:$F$1000,"&lt;=2024")</f>
        <v>6</v>
      </c>
      <c r="E29" s="29">
        <f t="shared" si="0"/>
        <v>1</v>
      </c>
      <c r="F29" s="14">
        <f>COUNTIFS(Form127_Raw!$A$2:$A$1000,$A29,Form127_Raw!$F$2:$F$1000,"&gt;=2019",Form127_Raw!$F$2:$F$1000,"&lt;=2024",Form127_Raw!$G$2:$G$1000,"&lt;&gt;")</f>
        <v>6</v>
      </c>
      <c r="G29" s="14">
        <f>COUNTIFS(Form127_Raw!$A$2:$A$1000,$A29,Form127_Raw!$F$2:$F$1000,"&gt;=2019",Form127_Raw!$F$2:$F$1000,"&lt;=2024",Form127_Raw!$H$2:$H$1000,"&lt;&gt;")</f>
        <v>6</v>
      </c>
      <c r="H29" s="14">
        <f>COUNTIFS(Form127_Raw!$A$2:$A$1000,$A29,Form127_Raw!$F$2:$F$1000,"&gt;=2019",Form127_Raw!$F$2:$F$1000,"&lt;=2024",Form127_Raw!$S$2:$S$1000,"&lt;&gt;")</f>
        <v>6</v>
      </c>
      <c r="I29" s="14">
        <f>COUNTIFS(Form127_Raw!$A$2:$A$1000,$A29,Form127_Raw!$F$2:$F$1000,"&gt;=2019",Form127_Raw!$F$2:$F$1000,"&lt;=2024",Form127_Raw!$T$2:$T$1000,"&lt;&gt;")</f>
        <v>6</v>
      </c>
      <c r="J29" s="14">
        <f>COUNTIFS(Form127_Raw!$A$2:$A$1000,$A29,Form127_Raw!$F$2:$F$1000,"&gt;=2019",Form127_Raw!$F$2:$F$1000,"&lt;=2024",Form127_Raw!$N$2:$N$1000,"&lt;&gt;")</f>
        <v>6</v>
      </c>
      <c r="K29" s="14">
        <f>COUNTIFS(Form127_Raw!$A$2:$A$1000,$A29,Form127_Raw!$F$2:$F$1000,"&gt;=2019",Form127_Raw!$F$2:$F$1000,"&lt;=2024",Form127_Raw!$M$2:$M$1000,"&lt;&gt;")</f>
        <v>6</v>
      </c>
      <c r="L29" s="14">
        <f>COUNTIFS(Form127_Raw!$A$2:$A$1000,$A29,Form127_Raw!$F$2:$F$1000,"&gt;=2019",Form127_Raw!$F$2:$F$1000,"&lt;=2024",Form127_Raw!$K$2:$K$1000,"&lt;&gt;")</f>
        <v>6</v>
      </c>
      <c r="M29" s="14">
        <f>COUNTIFS(Form127_Raw!$A$2:$A$1000,$A29,Form127_Raw!$F$2:$F$1000,"&gt;=2019",Form127_Raw!$F$2:$F$1000,"&lt;=2024",Form127_Raw!$L$2:$L$1000,"&lt;&gt;")</f>
        <v>6</v>
      </c>
      <c r="N29" s="14">
        <f>COUNTIFS(Form127_Raw!$A$2:$A$1000,$A29,Form127_Raw!$F$2:$F$1000,"&gt;=2019",Form127_Raw!$F$2:$F$1000,"&lt;=2024",Form127_Raw!$P$2:$P$1000,"&lt;&gt;")</f>
        <v>6</v>
      </c>
      <c r="O29" s="29">
        <f t="shared" si="1"/>
        <v>1</v>
      </c>
      <c r="P29" s="29">
        <f t="shared" si="2"/>
        <v>1</v>
      </c>
      <c r="Q29" s="14">
        <f>COUNTIFS(Form127_Raw!$A$2:$A$1000,$A29,Form127_Raw!$F$2:$F$1000,"&gt;=2019",Form127_Raw!$F$2:$F$1000,"&lt;=2024",Form127_Raw!$N$2:$N$1000,0)+COUNTIFS(Form127_Raw!$A$2:$A$1000,$A29,Form127_Raw!$F$2:$F$1000,"&gt;=2019",Form127_Raw!$F$2:$F$1000,"&lt;=2024",Form127_Raw!$M$2:$M$1000,0)+COUNTIFS(Form127_Raw!$A$2:$A$1000,$A29,Form127_Raw!$F$2:$F$1000,"&gt;=2019",Form127_Raw!$F$2:$F$1000,"&lt;=2024",Form127_Raw!$K$2:$K$1000,0)+COUNTIFS(Form127_Raw!$A$2:$A$1000,$A29,Form127_Raw!$F$2:$F$1000,"&gt;=2019",Form127_Raw!$F$2:$F$1000,"&lt;=2024",Form127_Raw!$L$2:$L$1000,0)+COUNTIFS(Form127_Raw!$A$2:$A$1000,$A29,Form127_Raw!$F$2:$F$1000,"&gt;=2019",Form127_Raw!$F$2:$F$1000,"&lt;=2024",Form127_Raw!$P$2:$P$1000,0)</f>
        <v>0</v>
      </c>
      <c r="R29" s="29">
        <f t="shared" si="3"/>
        <v>1</v>
      </c>
      <c r="S29" s="29">
        <f>(COUNTIFS(Form127_Raw!$A$2:$A$1000,$A29,Form127_Raw!$F$2:$F$1000,"&gt;=2019",Form127_Raw!$F$2:$F$1000,"&lt;=2024",Form127_Raw!$I$2:$I$1000,"&lt;&gt;")+COUNTIFS(Form127_Raw!$A$2:$A$1000,$A29,Form127_Raw!$F$2:$F$1000,"&gt;=2019",Form127_Raw!$F$2:$F$1000,"&lt;=2024",Form127_Raw!$J$2:$J$1000,"&lt;&gt;")+COUNTIFS(Form127_Raw!$A$2:$A$1000,$A29,Form127_Raw!$F$2:$F$1000,"&gt;=2019",Form127_Raw!$F$2:$F$1000,"&lt;=2024",Form127_Raw!$O$2:$O$1000,"&lt;&gt;")+COUNTIFS(Form127_Raw!$A$2:$A$1000,$A29,Form127_Raw!$F$2:$F$1000,"&gt;=2019",Form127_Raw!$F$2:$F$1000,"&lt;=2024",Form127_Raw!$Q$2:$Q$1000,"&lt;&gt;")+COUNTIFS(Form127_Raw!$A$2:$A$1000,$A29,Form127_Raw!$F$2:$F$1000,"&gt;=2019",Form127_Raw!$F$2:$F$1000,"&lt;=2024",Form127_Raw!$R$2:$R$1000,"&lt;&gt;"))/30</f>
        <v>0</v>
      </c>
      <c r="T29" s="14" t="str">
        <f t="shared" si="4"/>
        <v>Excellent - FAA Backfill Pending</v>
      </c>
    </row>
    <row r="30" spans="1:20">
      <c r="A30" s="14" t="str">
        <f>Airport_Master!A23</f>
        <v>SLC</v>
      </c>
      <c r="B30" s="14" t="str">
        <f>Airport_Master!B23</f>
        <v>Salt Lake City International</v>
      </c>
      <c r="C30" s="14" t="str">
        <f>Airport_Master!E23</f>
        <v>Large</v>
      </c>
      <c r="D30" s="14">
        <f>COUNTIFS(Form127_Raw!$A$2:$A$1000,$A30,Form127_Raw!$F$2:$F$1000,"&gt;=2019",Form127_Raw!$F$2:$F$1000,"&lt;=2024")</f>
        <v>6</v>
      </c>
      <c r="E30" s="29">
        <f t="shared" si="0"/>
        <v>1</v>
      </c>
      <c r="F30" s="14">
        <f>COUNTIFS(Form127_Raw!$A$2:$A$1000,$A30,Form127_Raw!$F$2:$F$1000,"&gt;=2019",Form127_Raw!$F$2:$F$1000,"&lt;=2024",Form127_Raw!$G$2:$G$1000,"&lt;&gt;")</f>
        <v>6</v>
      </c>
      <c r="G30" s="14">
        <f>COUNTIFS(Form127_Raw!$A$2:$A$1000,$A30,Form127_Raw!$F$2:$F$1000,"&gt;=2019",Form127_Raw!$F$2:$F$1000,"&lt;=2024",Form127_Raw!$H$2:$H$1000,"&lt;&gt;")</f>
        <v>6</v>
      </c>
      <c r="H30" s="14">
        <f>COUNTIFS(Form127_Raw!$A$2:$A$1000,$A30,Form127_Raw!$F$2:$F$1000,"&gt;=2019",Form127_Raw!$F$2:$F$1000,"&lt;=2024",Form127_Raw!$S$2:$S$1000,"&lt;&gt;")</f>
        <v>6</v>
      </c>
      <c r="I30" s="14">
        <f>COUNTIFS(Form127_Raw!$A$2:$A$1000,$A30,Form127_Raw!$F$2:$F$1000,"&gt;=2019",Form127_Raw!$F$2:$F$1000,"&lt;=2024",Form127_Raw!$T$2:$T$1000,"&lt;&gt;")</f>
        <v>6</v>
      </c>
      <c r="J30" s="14">
        <f>COUNTIFS(Form127_Raw!$A$2:$A$1000,$A30,Form127_Raw!$F$2:$F$1000,"&gt;=2019",Form127_Raw!$F$2:$F$1000,"&lt;=2024",Form127_Raw!$N$2:$N$1000,"&lt;&gt;")</f>
        <v>6</v>
      </c>
      <c r="K30" s="14">
        <f>COUNTIFS(Form127_Raw!$A$2:$A$1000,$A30,Form127_Raw!$F$2:$F$1000,"&gt;=2019",Form127_Raw!$F$2:$F$1000,"&lt;=2024",Form127_Raw!$M$2:$M$1000,"&lt;&gt;")</f>
        <v>6</v>
      </c>
      <c r="L30" s="14">
        <f>COUNTIFS(Form127_Raw!$A$2:$A$1000,$A30,Form127_Raw!$F$2:$F$1000,"&gt;=2019",Form127_Raw!$F$2:$F$1000,"&lt;=2024",Form127_Raw!$K$2:$K$1000,"&lt;&gt;")</f>
        <v>6</v>
      </c>
      <c r="M30" s="14">
        <f>COUNTIFS(Form127_Raw!$A$2:$A$1000,$A30,Form127_Raw!$F$2:$F$1000,"&gt;=2019",Form127_Raw!$F$2:$F$1000,"&lt;=2024",Form127_Raw!$L$2:$L$1000,"&lt;&gt;")</f>
        <v>6</v>
      </c>
      <c r="N30" s="14">
        <f>COUNTIFS(Form127_Raw!$A$2:$A$1000,$A30,Form127_Raw!$F$2:$F$1000,"&gt;=2019",Form127_Raw!$F$2:$F$1000,"&lt;=2024",Form127_Raw!$P$2:$P$1000,"&lt;&gt;")</f>
        <v>6</v>
      </c>
      <c r="O30" s="29">
        <f t="shared" si="1"/>
        <v>1</v>
      </c>
      <c r="P30" s="29">
        <f t="shared" si="2"/>
        <v>1</v>
      </c>
      <c r="Q30" s="14">
        <f>COUNTIFS(Form127_Raw!$A$2:$A$1000,$A30,Form127_Raw!$F$2:$F$1000,"&gt;=2019",Form127_Raw!$F$2:$F$1000,"&lt;=2024",Form127_Raw!$N$2:$N$1000,0)+COUNTIFS(Form127_Raw!$A$2:$A$1000,$A30,Form127_Raw!$F$2:$F$1000,"&gt;=2019",Form127_Raw!$F$2:$F$1000,"&lt;=2024",Form127_Raw!$M$2:$M$1000,0)+COUNTIFS(Form127_Raw!$A$2:$A$1000,$A30,Form127_Raw!$F$2:$F$1000,"&gt;=2019",Form127_Raw!$F$2:$F$1000,"&lt;=2024",Form127_Raw!$K$2:$K$1000,0)+COUNTIFS(Form127_Raw!$A$2:$A$1000,$A30,Form127_Raw!$F$2:$F$1000,"&gt;=2019",Form127_Raw!$F$2:$F$1000,"&lt;=2024",Form127_Raw!$L$2:$L$1000,0)+COUNTIFS(Form127_Raw!$A$2:$A$1000,$A30,Form127_Raw!$F$2:$F$1000,"&gt;=2019",Form127_Raw!$F$2:$F$1000,"&lt;=2024",Form127_Raw!$P$2:$P$1000,0)</f>
        <v>0</v>
      </c>
      <c r="R30" s="29">
        <f t="shared" si="3"/>
        <v>1</v>
      </c>
      <c r="S30" s="29">
        <f>(COUNTIFS(Form127_Raw!$A$2:$A$1000,$A30,Form127_Raw!$F$2:$F$1000,"&gt;=2019",Form127_Raw!$F$2:$F$1000,"&lt;=2024",Form127_Raw!$I$2:$I$1000,"&lt;&gt;")+COUNTIFS(Form127_Raw!$A$2:$A$1000,$A30,Form127_Raw!$F$2:$F$1000,"&gt;=2019",Form127_Raw!$F$2:$F$1000,"&lt;=2024",Form127_Raw!$J$2:$J$1000,"&lt;&gt;")+COUNTIFS(Form127_Raw!$A$2:$A$1000,$A30,Form127_Raw!$F$2:$F$1000,"&gt;=2019",Form127_Raw!$F$2:$F$1000,"&lt;=2024",Form127_Raw!$O$2:$O$1000,"&lt;&gt;")+COUNTIFS(Form127_Raw!$A$2:$A$1000,$A30,Form127_Raw!$F$2:$F$1000,"&gt;=2019",Form127_Raw!$F$2:$F$1000,"&lt;=2024",Form127_Raw!$Q$2:$Q$1000,"&lt;&gt;")+COUNTIFS(Form127_Raw!$A$2:$A$1000,$A30,Form127_Raw!$F$2:$F$1000,"&gt;=2019",Form127_Raw!$F$2:$F$1000,"&lt;=2024",Form127_Raw!$R$2:$R$1000,"&lt;&gt;"))/30</f>
        <v>0</v>
      </c>
      <c r="T30" s="14" t="str">
        <f t="shared" si="4"/>
        <v>Excellent - FAA Backfill Pending</v>
      </c>
    </row>
    <row r="31" spans="1:20" ht="28">
      <c r="A31" s="14" t="str">
        <f>Airport_Master!A24</f>
        <v>BWI</v>
      </c>
      <c r="B31" s="14" t="str">
        <f>Airport_Master!B24</f>
        <v>Baltimore/Washington International Thurgood Marshall</v>
      </c>
      <c r="C31" s="14" t="str">
        <f>Airport_Master!E24</f>
        <v>Large</v>
      </c>
      <c r="D31" s="14">
        <f>COUNTIFS(Form127_Raw!$A$2:$A$1000,$A31,Form127_Raw!$F$2:$F$1000,"&gt;=2019",Form127_Raw!$F$2:$F$1000,"&lt;=2024")</f>
        <v>6</v>
      </c>
      <c r="E31" s="29">
        <f t="shared" si="0"/>
        <v>1</v>
      </c>
      <c r="F31" s="14">
        <f>COUNTIFS(Form127_Raw!$A$2:$A$1000,$A31,Form127_Raw!$F$2:$F$1000,"&gt;=2019",Form127_Raw!$F$2:$F$1000,"&lt;=2024",Form127_Raw!$G$2:$G$1000,"&lt;&gt;")</f>
        <v>6</v>
      </c>
      <c r="G31" s="14">
        <f>COUNTIFS(Form127_Raw!$A$2:$A$1000,$A31,Form127_Raw!$F$2:$F$1000,"&gt;=2019",Form127_Raw!$F$2:$F$1000,"&lt;=2024",Form127_Raw!$H$2:$H$1000,"&lt;&gt;")</f>
        <v>6</v>
      </c>
      <c r="H31" s="14">
        <f>COUNTIFS(Form127_Raw!$A$2:$A$1000,$A31,Form127_Raw!$F$2:$F$1000,"&gt;=2019",Form127_Raw!$F$2:$F$1000,"&lt;=2024",Form127_Raw!$S$2:$S$1000,"&lt;&gt;")</f>
        <v>6</v>
      </c>
      <c r="I31" s="14">
        <f>COUNTIFS(Form127_Raw!$A$2:$A$1000,$A31,Form127_Raw!$F$2:$F$1000,"&gt;=2019",Form127_Raw!$F$2:$F$1000,"&lt;=2024",Form127_Raw!$T$2:$T$1000,"&lt;&gt;")</f>
        <v>6</v>
      </c>
      <c r="J31" s="14">
        <f>COUNTIFS(Form127_Raw!$A$2:$A$1000,$A31,Form127_Raw!$F$2:$F$1000,"&gt;=2019",Form127_Raw!$F$2:$F$1000,"&lt;=2024",Form127_Raw!$N$2:$N$1000,"&lt;&gt;")</f>
        <v>6</v>
      </c>
      <c r="K31" s="14">
        <f>COUNTIFS(Form127_Raw!$A$2:$A$1000,$A31,Form127_Raw!$F$2:$F$1000,"&gt;=2019",Form127_Raw!$F$2:$F$1000,"&lt;=2024",Form127_Raw!$M$2:$M$1000,"&lt;&gt;")</f>
        <v>6</v>
      </c>
      <c r="L31" s="14">
        <f>COUNTIFS(Form127_Raw!$A$2:$A$1000,$A31,Form127_Raw!$F$2:$F$1000,"&gt;=2019",Form127_Raw!$F$2:$F$1000,"&lt;=2024",Form127_Raw!$K$2:$K$1000,"&lt;&gt;")</f>
        <v>6</v>
      </c>
      <c r="M31" s="14">
        <f>COUNTIFS(Form127_Raw!$A$2:$A$1000,$A31,Form127_Raw!$F$2:$F$1000,"&gt;=2019",Form127_Raw!$F$2:$F$1000,"&lt;=2024",Form127_Raw!$L$2:$L$1000,"&lt;&gt;")</f>
        <v>6</v>
      </c>
      <c r="N31" s="14">
        <f>COUNTIFS(Form127_Raw!$A$2:$A$1000,$A31,Form127_Raw!$F$2:$F$1000,"&gt;=2019",Form127_Raw!$F$2:$F$1000,"&lt;=2024",Form127_Raw!$P$2:$P$1000,"&lt;&gt;")</f>
        <v>6</v>
      </c>
      <c r="O31" s="29">
        <f t="shared" si="1"/>
        <v>1</v>
      </c>
      <c r="P31" s="29">
        <f t="shared" si="2"/>
        <v>1</v>
      </c>
      <c r="Q31" s="14">
        <f>COUNTIFS(Form127_Raw!$A$2:$A$1000,$A31,Form127_Raw!$F$2:$F$1000,"&gt;=2019",Form127_Raw!$F$2:$F$1000,"&lt;=2024",Form127_Raw!$N$2:$N$1000,0)+COUNTIFS(Form127_Raw!$A$2:$A$1000,$A31,Form127_Raw!$F$2:$F$1000,"&gt;=2019",Form127_Raw!$F$2:$F$1000,"&lt;=2024",Form127_Raw!$M$2:$M$1000,0)+COUNTIFS(Form127_Raw!$A$2:$A$1000,$A31,Form127_Raw!$F$2:$F$1000,"&gt;=2019",Form127_Raw!$F$2:$F$1000,"&lt;=2024",Form127_Raw!$K$2:$K$1000,0)+COUNTIFS(Form127_Raw!$A$2:$A$1000,$A31,Form127_Raw!$F$2:$F$1000,"&gt;=2019",Form127_Raw!$F$2:$F$1000,"&lt;=2024",Form127_Raw!$L$2:$L$1000,0)+COUNTIFS(Form127_Raw!$A$2:$A$1000,$A31,Form127_Raw!$F$2:$F$1000,"&gt;=2019",Form127_Raw!$F$2:$F$1000,"&lt;=2024",Form127_Raw!$P$2:$P$1000,0)</f>
        <v>0</v>
      </c>
      <c r="R31" s="29">
        <f t="shared" si="3"/>
        <v>1</v>
      </c>
      <c r="S31" s="29">
        <f>(COUNTIFS(Form127_Raw!$A$2:$A$1000,$A31,Form127_Raw!$F$2:$F$1000,"&gt;=2019",Form127_Raw!$F$2:$F$1000,"&lt;=2024",Form127_Raw!$I$2:$I$1000,"&lt;&gt;")+COUNTIFS(Form127_Raw!$A$2:$A$1000,$A31,Form127_Raw!$F$2:$F$1000,"&gt;=2019",Form127_Raw!$F$2:$F$1000,"&lt;=2024",Form127_Raw!$J$2:$J$1000,"&lt;&gt;")+COUNTIFS(Form127_Raw!$A$2:$A$1000,$A31,Form127_Raw!$F$2:$F$1000,"&gt;=2019",Form127_Raw!$F$2:$F$1000,"&lt;=2024",Form127_Raw!$O$2:$O$1000,"&lt;&gt;")+COUNTIFS(Form127_Raw!$A$2:$A$1000,$A31,Form127_Raw!$F$2:$F$1000,"&gt;=2019",Form127_Raw!$F$2:$F$1000,"&lt;=2024",Form127_Raw!$Q$2:$Q$1000,"&lt;&gt;")+COUNTIFS(Form127_Raw!$A$2:$A$1000,$A31,Form127_Raw!$F$2:$F$1000,"&gt;=2019",Form127_Raw!$F$2:$F$1000,"&lt;=2024",Form127_Raw!$R$2:$R$1000,"&lt;&gt;"))/30</f>
        <v>0</v>
      </c>
      <c r="T31" s="14" t="str">
        <f t="shared" si="4"/>
        <v>Excellent - FAA Backfill Pending</v>
      </c>
    </row>
    <row r="32" spans="1:20">
      <c r="A32" s="14" t="str">
        <f>Airport_Master!A25</f>
        <v>IAD</v>
      </c>
      <c r="B32" s="14" t="str">
        <f>Airport_Master!B25</f>
        <v>Washington Dulles International</v>
      </c>
      <c r="C32" s="14" t="str">
        <f>Airport_Master!E25</f>
        <v>Large</v>
      </c>
      <c r="D32" s="14">
        <f>COUNTIFS(Form127_Raw!$A$2:$A$1000,$A32,Form127_Raw!$F$2:$F$1000,"&gt;=2019",Form127_Raw!$F$2:$F$1000,"&lt;=2024")</f>
        <v>6</v>
      </c>
      <c r="E32" s="29">
        <f t="shared" si="0"/>
        <v>1</v>
      </c>
      <c r="F32" s="14">
        <f>COUNTIFS(Form127_Raw!$A$2:$A$1000,$A32,Form127_Raw!$F$2:$F$1000,"&gt;=2019",Form127_Raw!$F$2:$F$1000,"&lt;=2024",Form127_Raw!$G$2:$G$1000,"&lt;&gt;")</f>
        <v>6</v>
      </c>
      <c r="G32" s="14">
        <f>COUNTIFS(Form127_Raw!$A$2:$A$1000,$A32,Form127_Raw!$F$2:$F$1000,"&gt;=2019",Form127_Raw!$F$2:$F$1000,"&lt;=2024",Form127_Raw!$H$2:$H$1000,"&lt;&gt;")</f>
        <v>6</v>
      </c>
      <c r="H32" s="14">
        <f>COUNTIFS(Form127_Raw!$A$2:$A$1000,$A32,Form127_Raw!$F$2:$F$1000,"&gt;=2019",Form127_Raw!$F$2:$F$1000,"&lt;=2024",Form127_Raw!$S$2:$S$1000,"&lt;&gt;")</f>
        <v>6</v>
      </c>
      <c r="I32" s="14">
        <f>COUNTIFS(Form127_Raw!$A$2:$A$1000,$A32,Form127_Raw!$F$2:$F$1000,"&gt;=2019",Form127_Raw!$F$2:$F$1000,"&lt;=2024",Form127_Raw!$T$2:$T$1000,"&lt;&gt;")</f>
        <v>6</v>
      </c>
      <c r="J32" s="14">
        <f>COUNTIFS(Form127_Raw!$A$2:$A$1000,$A32,Form127_Raw!$F$2:$F$1000,"&gt;=2019",Form127_Raw!$F$2:$F$1000,"&lt;=2024",Form127_Raw!$N$2:$N$1000,"&lt;&gt;")</f>
        <v>6</v>
      </c>
      <c r="K32" s="14">
        <f>COUNTIFS(Form127_Raw!$A$2:$A$1000,$A32,Form127_Raw!$F$2:$F$1000,"&gt;=2019",Form127_Raw!$F$2:$F$1000,"&lt;=2024",Form127_Raw!$M$2:$M$1000,"&lt;&gt;")</f>
        <v>6</v>
      </c>
      <c r="L32" s="14">
        <f>COUNTIFS(Form127_Raw!$A$2:$A$1000,$A32,Form127_Raw!$F$2:$F$1000,"&gt;=2019",Form127_Raw!$F$2:$F$1000,"&lt;=2024",Form127_Raw!$K$2:$K$1000,"&lt;&gt;")</f>
        <v>6</v>
      </c>
      <c r="M32" s="14">
        <f>COUNTIFS(Form127_Raw!$A$2:$A$1000,$A32,Form127_Raw!$F$2:$F$1000,"&gt;=2019",Form127_Raw!$F$2:$F$1000,"&lt;=2024",Form127_Raw!$L$2:$L$1000,"&lt;&gt;")</f>
        <v>6</v>
      </c>
      <c r="N32" s="14">
        <f>COUNTIFS(Form127_Raw!$A$2:$A$1000,$A32,Form127_Raw!$F$2:$F$1000,"&gt;=2019",Form127_Raw!$F$2:$F$1000,"&lt;=2024",Form127_Raw!$P$2:$P$1000,"&lt;&gt;")</f>
        <v>6</v>
      </c>
      <c r="O32" s="29">
        <f t="shared" si="1"/>
        <v>1</v>
      </c>
      <c r="P32" s="29">
        <f t="shared" si="2"/>
        <v>1</v>
      </c>
      <c r="Q32" s="14">
        <f>COUNTIFS(Form127_Raw!$A$2:$A$1000,$A32,Form127_Raw!$F$2:$F$1000,"&gt;=2019",Form127_Raw!$F$2:$F$1000,"&lt;=2024",Form127_Raw!$N$2:$N$1000,0)+COUNTIFS(Form127_Raw!$A$2:$A$1000,$A32,Form127_Raw!$F$2:$F$1000,"&gt;=2019",Form127_Raw!$F$2:$F$1000,"&lt;=2024",Form127_Raw!$M$2:$M$1000,0)+COUNTIFS(Form127_Raw!$A$2:$A$1000,$A32,Form127_Raw!$F$2:$F$1000,"&gt;=2019",Form127_Raw!$F$2:$F$1000,"&lt;=2024",Form127_Raw!$K$2:$K$1000,0)+COUNTIFS(Form127_Raw!$A$2:$A$1000,$A32,Form127_Raw!$F$2:$F$1000,"&gt;=2019",Form127_Raw!$F$2:$F$1000,"&lt;=2024",Form127_Raw!$L$2:$L$1000,0)+COUNTIFS(Form127_Raw!$A$2:$A$1000,$A32,Form127_Raw!$F$2:$F$1000,"&gt;=2019",Form127_Raw!$F$2:$F$1000,"&lt;=2024",Form127_Raw!$P$2:$P$1000,0)</f>
        <v>0</v>
      </c>
      <c r="R32" s="29">
        <f t="shared" si="3"/>
        <v>1</v>
      </c>
      <c r="S32" s="29">
        <f>(COUNTIFS(Form127_Raw!$A$2:$A$1000,$A32,Form127_Raw!$F$2:$F$1000,"&gt;=2019",Form127_Raw!$F$2:$F$1000,"&lt;=2024",Form127_Raw!$I$2:$I$1000,"&lt;&gt;")+COUNTIFS(Form127_Raw!$A$2:$A$1000,$A32,Form127_Raw!$F$2:$F$1000,"&gt;=2019",Form127_Raw!$F$2:$F$1000,"&lt;=2024",Form127_Raw!$J$2:$J$1000,"&lt;&gt;")+COUNTIFS(Form127_Raw!$A$2:$A$1000,$A32,Form127_Raw!$F$2:$F$1000,"&gt;=2019",Form127_Raw!$F$2:$F$1000,"&lt;=2024",Form127_Raw!$O$2:$O$1000,"&lt;&gt;")+COUNTIFS(Form127_Raw!$A$2:$A$1000,$A32,Form127_Raw!$F$2:$F$1000,"&gt;=2019",Form127_Raw!$F$2:$F$1000,"&lt;=2024",Form127_Raw!$Q$2:$Q$1000,"&lt;&gt;")+COUNTIFS(Form127_Raw!$A$2:$A$1000,$A32,Form127_Raw!$F$2:$F$1000,"&gt;=2019",Form127_Raw!$F$2:$F$1000,"&lt;=2024",Form127_Raw!$R$2:$R$1000,"&lt;&gt;"))/30</f>
        <v>0</v>
      </c>
      <c r="T32" s="14" t="str">
        <f t="shared" si="4"/>
        <v>Excellent - FAA Backfill Pending</v>
      </c>
    </row>
    <row r="33" spans="1:20">
      <c r="A33" s="14" t="str">
        <f>Airport_Master!A26</f>
        <v>SAN</v>
      </c>
      <c r="B33" s="14" t="str">
        <f>Airport_Master!B26</f>
        <v>San Diego International</v>
      </c>
      <c r="C33" s="14" t="str">
        <f>Airport_Master!E26</f>
        <v>Large</v>
      </c>
      <c r="D33" s="14">
        <f>COUNTIFS(Form127_Raw!$A$2:$A$1000,$A33,Form127_Raw!$F$2:$F$1000,"&gt;=2019",Form127_Raw!$F$2:$F$1000,"&lt;=2024")</f>
        <v>6</v>
      </c>
      <c r="E33" s="29">
        <f t="shared" si="0"/>
        <v>1</v>
      </c>
      <c r="F33" s="14">
        <f>COUNTIFS(Form127_Raw!$A$2:$A$1000,$A33,Form127_Raw!$F$2:$F$1000,"&gt;=2019",Form127_Raw!$F$2:$F$1000,"&lt;=2024",Form127_Raw!$G$2:$G$1000,"&lt;&gt;")</f>
        <v>6</v>
      </c>
      <c r="G33" s="14">
        <f>COUNTIFS(Form127_Raw!$A$2:$A$1000,$A33,Form127_Raw!$F$2:$F$1000,"&gt;=2019",Form127_Raw!$F$2:$F$1000,"&lt;=2024",Form127_Raw!$H$2:$H$1000,"&lt;&gt;")</f>
        <v>6</v>
      </c>
      <c r="H33" s="14">
        <f>COUNTIFS(Form127_Raw!$A$2:$A$1000,$A33,Form127_Raw!$F$2:$F$1000,"&gt;=2019",Form127_Raw!$F$2:$F$1000,"&lt;=2024",Form127_Raw!$S$2:$S$1000,"&lt;&gt;")</f>
        <v>6</v>
      </c>
      <c r="I33" s="14">
        <f>COUNTIFS(Form127_Raw!$A$2:$A$1000,$A33,Form127_Raw!$F$2:$F$1000,"&gt;=2019",Form127_Raw!$F$2:$F$1000,"&lt;=2024",Form127_Raw!$T$2:$T$1000,"&lt;&gt;")</f>
        <v>6</v>
      </c>
      <c r="J33" s="14">
        <f>COUNTIFS(Form127_Raw!$A$2:$A$1000,$A33,Form127_Raw!$F$2:$F$1000,"&gt;=2019",Form127_Raw!$F$2:$F$1000,"&lt;=2024",Form127_Raw!$N$2:$N$1000,"&lt;&gt;")</f>
        <v>6</v>
      </c>
      <c r="K33" s="14">
        <f>COUNTIFS(Form127_Raw!$A$2:$A$1000,$A33,Form127_Raw!$F$2:$F$1000,"&gt;=2019",Form127_Raw!$F$2:$F$1000,"&lt;=2024",Form127_Raw!$M$2:$M$1000,"&lt;&gt;")</f>
        <v>6</v>
      </c>
      <c r="L33" s="14">
        <f>COUNTIFS(Form127_Raw!$A$2:$A$1000,$A33,Form127_Raw!$F$2:$F$1000,"&gt;=2019",Form127_Raw!$F$2:$F$1000,"&lt;=2024",Form127_Raw!$K$2:$K$1000,"&lt;&gt;")</f>
        <v>6</v>
      </c>
      <c r="M33" s="14">
        <f>COUNTIFS(Form127_Raw!$A$2:$A$1000,$A33,Form127_Raw!$F$2:$F$1000,"&gt;=2019",Form127_Raw!$F$2:$F$1000,"&lt;=2024",Form127_Raw!$L$2:$L$1000,"&lt;&gt;")</f>
        <v>6</v>
      </c>
      <c r="N33" s="14">
        <f>COUNTIFS(Form127_Raw!$A$2:$A$1000,$A33,Form127_Raw!$F$2:$F$1000,"&gt;=2019",Form127_Raw!$F$2:$F$1000,"&lt;=2024",Form127_Raw!$P$2:$P$1000,"&lt;&gt;")</f>
        <v>6</v>
      </c>
      <c r="O33" s="29">
        <f t="shared" si="1"/>
        <v>1</v>
      </c>
      <c r="P33" s="29">
        <f t="shared" si="2"/>
        <v>1</v>
      </c>
      <c r="Q33" s="14">
        <f>COUNTIFS(Form127_Raw!$A$2:$A$1000,$A33,Form127_Raw!$F$2:$F$1000,"&gt;=2019",Form127_Raw!$F$2:$F$1000,"&lt;=2024",Form127_Raw!$N$2:$N$1000,0)+COUNTIFS(Form127_Raw!$A$2:$A$1000,$A33,Form127_Raw!$F$2:$F$1000,"&gt;=2019",Form127_Raw!$F$2:$F$1000,"&lt;=2024",Form127_Raw!$M$2:$M$1000,0)+COUNTIFS(Form127_Raw!$A$2:$A$1000,$A33,Form127_Raw!$F$2:$F$1000,"&gt;=2019",Form127_Raw!$F$2:$F$1000,"&lt;=2024",Form127_Raw!$K$2:$K$1000,0)+COUNTIFS(Form127_Raw!$A$2:$A$1000,$A33,Form127_Raw!$F$2:$F$1000,"&gt;=2019",Form127_Raw!$F$2:$F$1000,"&lt;=2024",Form127_Raw!$L$2:$L$1000,0)+COUNTIFS(Form127_Raw!$A$2:$A$1000,$A33,Form127_Raw!$F$2:$F$1000,"&gt;=2019",Form127_Raw!$F$2:$F$1000,"&lt;=2024",Form127_Raw!$P$2:$P$1000,0)</f>
        <v>0</v>
      </c>
      <c r="R33" s="29">
        <f t="shared" si="3"/>
        <v>1</v>
      </c>
      <c r="S33" s="29">
        <f>(COUNTIFS(Form127_Raw!$A$2:$A$1000,$A33,Form127_Raw!$F$2:$F$1000,"&gt;=2019",Form127_Raw!$F$2:$F$1000,"&lt;=2024",Form127_Raw!$I$2:$I$1000,"&lt;&gt;")+COUNTIFS(Form127_Raw!$A$2:$A$1000,$A33,Form127_Raw!$F$2:$F$1000,"&gt;=2019",Form127_Raw!$F$2:$F$1000,"&lt;=2024",Form127_Raw!$J$2:$J$1000,"&lt;&gt;")+COUNTIFS(Form127_Raw!$A$2:$A$1000,$A33,Form127_Raw!$F$2:$F$1000,"&gt;=2019",Form127_Raw!$F$2:$F$1000,"&lt;=2024",Form127_Raw!$O$2:$O$1000,"&lt;&gt;")+COUNTIFS(Form127_Raw!$A$2:$A$1000,$A33,Form127_Raw!$F$2:$F$1000,"&gt;=2019",Form127_Raw!$F$2:$F$1000,"&lt;=2024",Form127_Raw!$Q$2:$Q$1000,"&lt;&gt;")+COUNTIFS(Form127_Raw!$A$2:$A$1000,$A33,Form127_Raw!$F$2:$F$1000,"&gt;=2019",Form127_Raw!$F$2:$F$1000,"&lt;=2024",Form127_Raw!$R$2:$R$1000,"&lt;&gt;"))/30</f>
        <v>0</v>
      </c>
      <c r="T33" s="14" t="str">
        <f t="shared" si="4"/>
        <v>Excellent - FAA Backfill Pending</v>
      </c>
    </row>
    <row r="34" spans="1:20">
      <c r="A34" s="14" t="str">
        <f>Airport_Master!A27</f>
        <v>DCA</v>
      </c>
      <c r="B34" s="14" t="str">
        <f>Airport_Master!B27</f>
        <v>Ronald Reagan Washington Ntl</v>
      </c>
      <c r="C34" s="14" t="str">
        <f>Airport_Master!E27</f>
        <v>Large</v>
      </c>
      <c r="D34" s="14">
        <f>COUNTIFS(Form127_Raw!$A$2:$A$1000,$A34,Form127_Raw!$F$2:$F$1000,"&gt;=2019",Form127_Raw!$F$2:$F$1000,"&lt;=2024")</f>
        <v>6</v>
      </c>
      <c r="E34" s="29">
        <f t="shared" si="0"/>
        <v>1</v>
      </c>
      <c r="F34" s="14">
        <f>COUNTIFS(Form127_Raw!$A$2:$A$1000,$A34,Form127_Raw!$F$2:$F$1000,"&gt;=2019",Form127_Raw!$F$2:$F$1000,"&lt;=2024",Form127_Raw!$G$2:$G$1000,"&lt;&gt;")</f>
        <v>6</v>
      </c>
      <c r="G34" s="14">
        <f>COUNTIFS(Form127_Raw!$A$2:$A$1000,$A34,Form127_Raw!$F$2:$F$1000,"&gt;=2019",Form127_Raw!$F$2:$F$1000,"&lt;=2024",Form127_Raw!$H$2:$H$1000,"&lt;&gt;")</f>
        <v>6</v>
      </c>
      <c r="H34" s="14">
        <f>COUNTIFS(Form127_Raw!$A$2:$A$1000,$A34,Form127_Raw!$F$2:$F$1000,"&gt;=2019",Form127_Raw!$F$2:$F$1000,"&lt;=2024",Form127_Raw!$S$2:$S$1000,"&lt;&gt;")</f>
        <v>6</v>
      </c>
      <c r="I34" s="14">
        <f>COUNTIFS(Form127_Raw!$A$2:$A$1000,$A34,Form127_Raw!$F$2:$F$1000,"&gt;=2019",Form127_Raw!$F$2:$F$1000,"&lt;=2024",Form127_Raw!$T$2:$T$1000,"&lt;&gt;")</f>
        <v>6</v>
      </c>
      <c r="J34" s="14">
        <f>COUNTIFS(Form127_Raw!$A$2:$A$1000,$A34,Form127_Raw!$F$2:$F$1000,"&gt;=2019",Form127_Raw!$F$2:$F$1000,"&lt;=2024",Form127_Raw!$N$2:$N$1000,"&lt;&gt;")</f>
        <v>6</v>
      </c>
      <c r="K34" s="14">
        <f>COUNTIFS(Form127_Raw!$A$2:$A$1000,$A34,Form127_Raw!$F$2:$F$1000,"&gt;=2019",Form127_Raw!$F$2:$F$1000,"&lt;=2024",Form127_Raw!$M$2:$M$1000,"&lt;&gt;")</f>
        <v>6</v>
      </c>
      <c r="L34" s="14">
        <f>COUNTIFS(Form127_Raw!$A$2:$A$1000,$A34,Form127_Raw!$F$2:$F$1000,"&gt;=2019",Form127_Raw!$F$2:$F$1000,"&lt;=2024",Form127_Raw!$K$2:$K$1000,"&lt;&gt;")</f>
        <v>6</v>
      </c>
      <c r="M34" s="14">
        <f>COUNTIFS(Form127_Raw!$A$2:$A$1000,$A34,Form127_Raw!$F$2:$F$1000,"&gt;=2019",Form127_Raw!$F$2:$F$1000,"&lt;=2024",Form127_Raw!$L$2:$L$1000,"&lt;&gt;")</f>
        <v>6</v>
      </c>
      <c r="N34" s="14">
        <f>COUNTIFS(Form127_Raw!$A$2:$A$1000,$A34,Form127_Raw!$F$2:$F$1000,"&gt;=2019",Form127_Raw!$F$2:$F$1000,"&lt;=2024",Form127_Raw!$P$2:$P$1000,"&lt;&gt;")</f>
        <v>6</v>
      </c>
      <c r="O34" s="29">
        <f t="shared" si="1"/>
        <v>1</v>
      </c>
      <c r="P34" s="29">
        <f t="shared" si="2"/>
        <v>1</v>
      </c>
      <c r="Q34" s="14">
        <f>COUNTIFS(Form127_Raw!$A$2:$A$1000,$A34,Form127_Raw!$F$2:$F$1000,"&gt;=2019",Form127_Raw!$F$2:$F$1000,"&lt;=2024",Form127_Raw!$N$2:$N$1000,0)+COUNTIFS(Form127_Raw!$A$2:$A$1000,$A34,Form127_Raw!$F$2:$F$1000,"&gt;=2019",Form127_Raw!$F$2:$F$1000,"&lt;=2024",Form127_Raw!$M$2:$M$1000,0)+COUNTIFS(Form127_Raw!$A$2:$A$1000,$A34,Form127_Raw!$F$2:$F$1000,"&gt;=2019",Form127_Raw!$F$2:$F$1000,"&lt;=2024",Form127_Raw!$K$2:$K$1000,0)+COUNTIFS(Form127_Raw!$A$2:$A$1000,$A34,Form127_Raw!$F$2:$F$1000,"&gt;=2019",Form127_Raw!$F$2:$F$1000,"&lt;=2024",Form127_Raw!$L$2:$L$1000,0)+COUNTIFS(Form127_Raw!$A$2:$A$1000,$A34,Form127_Raw!$F$2:$F$1000,"&gt;=2019",Form127_Raw!$F$2:$F$1000,"&lt;=2024",Form127_Raw!$P$2:$P$1000,0)</f>
        <v>0</v>
      </c>
      <c r="R34" s="29">
        <f t="shared" si="3"/>
        <v>1</v>
      </c>
      <c r="S34" s="29">
        <f>(COUNTIFS(Form127_Raw!$A$2:$A$1000,$A34,Form127_Raw!$F$2:$F$1000,"&gt;=2019",Form127_Raw!$F$2:$F$1000,"&lt;=2024",Form127_Raw!$I$2:$I$1000,"&lt;&gt;")+COUNTIFS(Form127_Raw!$A$2:$A$1000,$A34,Form127_Raw!$F$2:$F$1000,"&gt;=2019",Form127_Raw!$F$2:$F$1000,"&lt;=2024",Form127_Raw!$J$2:$J$1000,"&lt;&gt;")+COUNTIFS(Form127_Raw!$A$2:$A$1000,$A34,Form127_Raw!$F$2:$F$1000,"&gt;=2019",Form127_Raw!$F$2:$F$1000,"&lt;=2024",Form127_Raw!$O$2:$O$1000,"&lt;&gt;")+COUNTIFS(Form127_Raw!$A$2:$A$1000,$A34,Form127_Raw!$F$2:$F$1000,"&gt;=2019",Form127_Raw!$F$2:$F$1000,"&lt;=2024",Form127_Raw!$Q$2:$Q$1000,"&lt;&gt;")+COUNTIFS(Form127_Raw!$A$2:$A$1000,$A34,Form127_Raw!$F$2:$F$1000,"&gt;=2019",Form127_Raw!$F$2:$F$1000,"&lt;=2024",Form127_Raw!$R$2:$R$1000,"&lt;&gt;"))/30</f>
        <v>0</v>
      </c>
      <c r="T34" s="14" t="str">
        <f t="shared" si="4"/>
        <v>Excellent - FAA Backfill Pending</v>
      </c>
    </row>
    <row r="35" spans="1:20">
      <c r="A35" s="14" t="str">
        <f>Airport_Master!A28</f>
        <v>TPA</v>
      </c>
      <c r="B35" s="14" t="str">
        <f>Airport_Master!B28</f>
        <v>Tampa International</v>
      </c>
      <c r="C35" s="14" t="str">
        <f>Airport_Master!E28</f>
        <v>Large</v>
      </c>
      <c r="D35" s="14">
        <f>COUNTIFS(Form127_Raw!$A$2:$A$1000,$A35,Form127_Raw!$F$2:$F$1000,"&gt;=2019",Form127_Raw!$F$2:$F$1000,"&lt;=2024")</f>
        <v>6</v>
      </c>
      <c r="E35" s="29">
        <f t="shared" si="0"/>
        <v>1</v>
      </c>
      <c r="F35" s="14">
        <f>COUNTIFS(Form127_Raw!$A$2:$A$1000,$A35,Form127_Raw!$F$2:$F$1000,"&gt;=2019",Form127_Raw!$F$2:$F$1000,"&lt;=2024",Form127_Raw!$G$2:$G$1000,"&lt;&gt;")</f>
        <v>6</v>
      </c>
      <c r="G35" s="14">
        <f>COUNTIFS(Form127_Raw!$A$2:$A$1000,$A35,Form127_Raw!$F$2:$F$1000,"&gt;=2019",Form127_Raw!$F$2:$F$1000,"&lt;=2024",Form127_Raw!$H$2:$H$1000,"&lt;&gt;")</f>
        <v>6</v>
      </c>
      <c r="H35" s="14">
        <f>COUNTIFS(Form127_Raw!$A$2:$A$1000,$A35,Form127_Raw!$F$2:$F$1000,"&gt;=2019",Form127_Raw!$F$2:$F$1000,"&lt;=2024",Form127_Raw!$S$2:$S$1000,"&lt;&gt;")</f>
        <v>6</v>
      </c>
      <c r="I35" s="14">
        <f>COUNTIFS(Form127_Raw!$A$2:$A$1000,$A35,Form127_Raw!$F$2:$F$1000,"&gt;=2019",Form127_Raw!$F$2:$F$1000,"&lt;=2024",Form127_Raw!$T$2:$T$1000,"&lt;&gt;")</f>
        <v>6</v>
      </c>
      <c r="J35" s="14">
        <f>COUNTIFS(Form127_Raw!$A$2:$A$1000,$A35,Form127_Raw!$F$2:$F$1000,"&gt;=2019",Form127_Raw!$F$2:$F$1000,"&lt;=2024",Form127_Raw!$N$2:$N$1000,"&lt;&gt;")</f>
        <v>6</v>
      </c>
      <c r="K35" s="14">
        <f>COUNTIFS(Form127_Raw!$A$2:$A$1000,$A35,Form127_Raw!$F$2:$F$1000,"&gt;=2019",Form127_Raw!$F$2:$F$1000,"&lt;=2024",Form127_Raw!$M$2:$M$1000,"&lt;&gt;")</f>
        <v>6</v>
      </c>
      <c r="L35" s="14">
        <f>COUNTIFS(Form127_Raw!$A$2:$A$1000,$A35,Form127_Raw!$F$2:$F$1000,"&gt;=2019",Form127_Raw!$F$2:$F$1000,"&lt;=2024",Form127_Raw!$K$2:$K$1000,"&lt;&gt;")</f>
        <v>6</v>
      </c>
      <c r="M35" s="14">
        <f>COUNTIFS(Form127_Raw!$A$2:$A$1000,$A35,Form127_Raw!$F$2:$F$1000,"&gt;=2019",Form127_Raw!$F$2:$F$1000,"&lt;=2024",Form127_Raw!$L$2:$L$1000,"&lt;&gt;")</f>
        <v>6</v>
      </c>
      <c r="N35" s="14">
        <f>COUNTIFS(Form127_Raw!$A$2:$A$1000,$A35,Form127_Raw!$F$2:$F$1000,"&gt;=2019",Form127_Raw!$F$2:$F$1000,"&lt;=2024",Form127_Raw!$P$2:$P$1000,"&lt;&gt;")</f>
        <v>6</v>
      </c>
      <c r="O35" s="29">
        <f t="shared" si="1"/>
        <v>1</v>
      </c>
      <c r="P35" s="29">
        <f t="shared" si="2"/>
        <v>1</v>
      </c>
      <c r="Q35" s="14">
        <f>COUNTIFS(Form127_Raw!$A$2:$A$1000,$A35,Form127_Raw!$F$2:$F$1000,"&gt;=2019",Form127_Raw!$F$2:$F$1000,"&lt;=2024",Form127_Raw!$N$2:$N$1000,0)+COUNTIFS(Form127_Raw!$A$2:$A$1000,$A35,Form127_Raw!$F$2:$F$1000,"&gt;=2019",Form127_Raw!$F$2:$F$1000,"&lt;=2024",Form127_Raw!$M$2:$M$1000,0)+COUNTIFS(Form127_Raw!$A$2:$A$1000,$A35,Form127_Raw!$F$2:$F$1000,"&gt;=2019",Form127_Raw!$F$2:$F$1000,"&lt;=2024",Form127_Raw!$K$2:$K$1000,0)+COUNTIFS(Form127_Raw!$A$2:$A$1000,$A35,Form127_Raw!$F$2:$F$1000,"&gt;=2019",Form127_Raw!$F$2:$F$1000,"&lt;=2024",Form127_Raw!$L$2:$L$1000,0)+COUNTIFS(Form127_Raw!$A$2:$A$1000,$A35,Form127_Raw!$F$2:$F$1000,"&gt;=2019",Form127_Raw!$F$2:$F$1000,"&lt;=2024",Form127_Raw!$P$2:$P$1000,0)</f>
        <v>0</v>
      </c>
      <c r="R35" s="29">
        <f t="shared" si="3"/>
        <v>1</v>
      </c>
      <c r="S35" s="29">
        <f>(COUNTIFS(Form127_Raw!$A$2:$A$1000,$A35,Form127_Raw!$F$2:$F$1000,"&gt;=2019",Form127_Raw!$F$2:$F$1000,"&lt;=2024",Form127_Raw!$I$2:$I$1000,"&lt;&gt;")+COUNTIFS(Form127_Raw!$A$2:$A$1000,$A35,Form127_Raw!$F$2:$F$1000,"&gt;=2019",Form127_Raw!$F$2:$F$1000,"&lt;=2024",Form127_Raw!$J$2:$J$1000,"&lt;&gt;")+COUNTIFS(Form127_Raw!$A$2:$A$1000,$A35,Form127_Raw!$F$2:$F$1000,"&gt;=2019",Form127_Raw!$F$2:$F$1000,"&lt;=2024",Form127_Raw!$O$2:$O$1000,"&lt;&gt;")+COUNTIFS(Form127_Raw!$A$2:$A$1000,$A35,Form127_Raw!$F$2:$F$1000,"&gt;=2019",Form127_Raw!$F$2:$F$1000,"&lt;=2024",Form127_Raw!$Q$2:$Q$1000,"&lt;&gt;")+COUNTIFS(Form127_Raw!$A$2:$A$1000,$A35,Form127_Raw!$F$2:$F$1000,"&gt;=2019",Form127_Raw!$F$2:$F$1000,"&lt;=2024",Form127_Raw!$R$2:$R$1000,"&lt;&gt;"))/30</f>
        <v>0</v>
      </c>
      <c r="T35" s="14" t="str">
        <f t="shared" si="4"/>
        <v>Excellent - FAA Backfill Pending</v>
      </c>
    </row>
    <row r="36" spans="1:20">
      <c r="A36" s="14" t="str">
        <f>Airport_Master!A29</f>
        <v>BNA</v>
      </c>
      <c r="B36" s="14" t="str">
        <f>Airport_Master!B29</f>
        <v>Nashville International</v>
      </c>
      <c r="C36" s="14" t="str">
        <f>Airport_Master!E29</f>
        <v>Large</v>
      </c>
      <c r="D36" s="14">
        <f>COUNTIFS(Form127_Raw!$A$2:$A$1000,$A36,Form127_Raw!$F$2:$F$1000,"&gt;=2019",Form127_Raw!$F$2:$F$1000,"&lt;=2024")</f>
        <v>6</v>
      </c>
      <c r="E36" s="29">
        <f t="shared" si="0"/>
        <v>1</v>
      </c>
      <c r="F36" s="14">
        <f>COUNTIFS(Form127_Raw!$A$2:$A$1000,$A36,Form127_Raw!$F$2:$F$1000,"&gt;=2019",Form127_Raw!$F$2:$F$1000,"&lt;=2024",Form127_Raw!$G$2:$G$1000,"&lt;&gt;")</f>
        <v>6</v>
      </c>
      <c r="G36" s="14">
        <f>COUNTIFS(Form127_Raw!$A$2:$A$1000,$A36,Form127_Raw!$F$2:$F$1000,"&gt;=2019",Form127_Raw!$F$2:$F$1000,"&lt;=2024",Form127_Raw!$H$2:$H$1000,"&lt;&gt;")</f>
        <v>6</v>
      </c>
      <c r="H36" s="14">
        <f>COUNTIFS(Form127_Raw!$A$2:$A$1000,$A36,Form127_Raw!$F$2:$F$1000,"&gt;=2019",Form127_Raw!$F$2:$F$1000,"&lt;=2024",Form127_Raw!$S$2:$S$1000,"&lt;&gt;")</f>
        <v>6</v>
      </c>
      <c r="I36" s="14">
        <f>COUNTIFS(Form127_Raw!$A$2:$A$1000,$A36,Form127_Raw!$F$2:$F$1000,"&gt;=2019",Form127_Raw!$F$2:$F$1000,"&lt;=2024",Form127_Raw!$T$2:$T$1000,"&lt;&gt;")</f>
        <v>6</v>
      </c>
      <c r="J36" s="14">
        <f>COUNTIFS(Form127_Raw!$A$2:$A$1000,$A36,Form127_Raw!$F$2:$F$1000,"&gt;=2019",Form127_Raw!$F$2:$F$1000,"&lt;=2024",Form127_Raw!$N$2:$N$1000,"&lt;&gt;")</f>
        <v>6</v>
      </c>
      <c r="K36" s="14">
        <f>COUNTIFS(Form127_Raw!$A$2:$A$1000,$A36,Form127_Raw!$F$2:$F$1000,"&gt;=2019",Form127_Raw!$F$2:$F$1000,"&lt;=2024",Form127_Raw!$M$2:$M$1000,"&lt;&gt;")</f>
        <v>6</v>
      </c>
      <c r="L36" s="14">
        <f>COUNTIFS(Form127_Raw!$A$2:$A$1000,$A36,Form127_Raw!$F$2:$F$1000,"&gt;=2019",Form127_Raw!$F$2:$F$1000,"&lt;=2024",Form127_Raw!$K$2:$K$1000,"&lt;&gt;")</f>
        <v>6</v>
      </c>
      <c r="M36" s="14">
        <f>COUNTIFS(Form127_Raw!$A$2:$A$1000,$A36,Form127_Raw!$F$2:$F$1000,"&gt;=2019",Form127_Raw!$F$2:$F$1000,"&lt;=2024",Form127_Raw!$L$2:$L$1000,"&lt;&gt;")</f>
        <v>6</v>
      </c>
      <c r="N36" s="14">
        <f>COUNTIFS(Form127_Raw!$A$2:$A$1000,$A36,Form127_Raw!$F$2:$F$1000,"&gt;=2019",Form127_Raw!$F$2:$F$1000,"&lt;=2024",Form127_Raw!$P$2:$P$1000,"&lt;&gt;")</f>
        <v>6</v>
      </c>
      <c r="O36" s="29">
        <f t="shared" si="1"/>
        <v>1</v>
      </c>
      <c r="P36" s="29">
        <f t="shared" si="2"/>
        <v>1</v>
      </c>
      <c r="Q36" s="14">
        <f>COUNTIFS(Form127_Raw!$A$2:$A$1000,$A36,Form127_Raw!$F$2:$F$1000,"&gt;=2019",Form127_Raw!$F$2:$F$1000,"&lt;=2024",Form127_Raw!$N$2:$N$1000,0)+COUNTIFS(Form127_Raw!$A$2:$A$1000,$A36,Form127_Raw!$F$2:$F$1000,"&gt;=2019",Form127_Raw!$F$2:$F$1000,"&lt;=2024",Form127_Raw!$M$2:$M$1000,0)+COUNTIFS(Form127_Raw!$A$2:$A$1000,$A36,Form127_Raw!$F$2:$F$1000,"&gt;=2019",Form127_Raw!$F$2:$F$1000,"&lt;=2024",Form127_Raw!$K$2:$K$1000,0)+COUNTIFS(Form127_Raw!$A$2:$A$1000,$A36,Form127_Raw!$F$2:$F$1000,"&gt;=2019",Form127_Raw!$F$2:$F$1000,"&lt;=2024",Form127_Raw!$L$2:$L$1000,0)+COUNTIFS(Form127_Raw!$A$2:$A$1000,$A36,Form127_Raw!$F$2:$F$1000,"&gt;=2019",Form127_Raw!$F$2:$F$1000,"&lt;=2024",Form127_Raw!$P$2:$P$1000,0)</f>
        <v>0</v>
      </c>
      <c r="R36" s="29">
        <f t="shared" si="3"/>
        <v>1</v>
      </c>
      <c r="S36" s="29">
        <f>(COUNTIFS(Form127_Raw!$A$2:$A$1000,$A36,Form127_Raw!$F$2:$F$1000,"&gt;=2019",Form127_Raw!$F$2:$F$1000,"&lt;=2024",Form127_Raw!$I$2:$I$1000,"&lt;&gt;")+COUNTIFS(Form127_Raw!$A$2:$A$1000,$A36,Form127_Raw!$F$2:$F$1000,"&gt;=2019",Form127_Raw!$F$2:$F$1000,"&lt;=2024",Form127_Raw!$J$2:$J$1000,"&lt;&gt;")+COUNTIFS(Form127_Raw!$A$2:$A$1000,$A36,Form127_Raw!$F$2:$F$1000,"&gt;=2019",Form127_Raw!$F$2:$F$1000,"&lt;=2024",Form127_Raw!$O$2:$O$1000,"&lt;&gt;")+COUNTIFS(Form127_Raw!$A$2:$A$1000,$A36,Form127_Raw!$F$2:$F$1000,"&gt;=2019",Form127_Raw!$F$2:$F$1000,"&lt;=2024",Form127_Raw!$Q$2:$Q$1000,"&lt;&gt;")+COUNTIFS(Form127_Raw!$A$2:$A$1000,$A36,Form127_Raw!$F$2:$F$1000,"&gt;=2019",Form127_Raw!$F$2:$F$1000,"&lt;=2024",Form127_Raw!$R$2:$R$1000,"&lt;&gt;"))/30</f>
        <v>0</v>
      </c>
      <c r="T36" s="14" t="str">
        <f t="shared" si="4"/>
        <v>Excellent - FAA Backfill Pending</v>
      </c>
    </row>
    <row r="37" spans="1:20">
      <c r="A37" s="14" t="str">
        <f>Airport_Master!A30</f>
        <v>AUS</v>
      </c>
      <c r="B37" s="14" t="str">
        <f>Airport_Master!B30</f>
        <v>Austin-Bergstrom International</v>
      </c>
      <c r="C37" s="14" t="str">
        <f>Airport_Master!E30</f>
        <v>Large</v>
      </c>
      <c r="D37" s="14">
        <f>COUNTIFS(Form127_Raw!$A$2:$A$1000,$A37,Form127_Raw!$F$2:$F$1000,"&gt;=2019",Form127_Raw!$F$2:$F$1000,"&lt;=2024")</f>
        <v>6</v>
      </c>
      <c r="E37" s="29">
        <f t="shared" si="0"/>
        <v>1</v>
      </c>
      <c r="F37" s="14">
        <f>COUNTIFS(Form127_Raw!$A$2:$A$1000,$A37,Form127_Raw!$F$2:$F$1000,"&gt;=2019",Form127_Raw!$F$2:$F$1000,"&lt;=2024",Form127_Raw!$G$2:$G$1000,"&lt;&gt;")</f>
        <v>6</v>
      </c>
      <c r="G37" s="14">
        <f>COUNTIFS(Form127_Raw!$A$2:$A$1000,$A37,Form127_Raw!$F$2:$F$1000,"&gt;=2019",Form127_Raw!$F$2:$F$1000,"&lt;=2024",Form127_Raw!$H$2:$H$1000,"&lt;&gt;")</f>
        <v>6</v>
      </c>
      <c r="H37" s="14">
        <f>COUNTIFS(Form127_Raw!$A$2:$A$1000,$A37,Form127_Raw!$F$2:$F$1000,"&gt;=2019",Form127_Raw!$F$2:$F$1000,"&lt;=2024",Form127_Raw!$S$2:$S$1000,"&lt;&gt;")</f>
        <v>6</v>
      </c>
      <c r="I37" s="14">
        <f>COUNTIFS(Form127_Raw!$A$2:$A$1000,$A37,Form127_Raw!$F$2:$F$1000,"&gt;=2019",Form127_Raw!$F$2:$F$1000,"&lt;=2024",Form127_Raw!$T$2:$T$1000,"&lt;&gt;")</f>
        <v>6</v>
      </c>
      <c r="J37" s="14">
        <f>COUNTIFS(Form127_Raw!$A$2:$A$1000,$A37,Form127_Raw!$F$2:$F$1000,"&gt;=2019",Form127_Raw!$F$2:$F$1000,"&lt;=2024",Form127_Raw!$N$2:$N$1000,"&lt;&gt;")</f>
        <v>6</v>
      </c>
      <c r="K37" s="14">
        <f>COUNTIFS(Form127_Raw!$A$2:$A$1000,$A37,Form127_Raw!$F$2:$F$1000,"&gt;=2019",Form127_Raw!$F$2:$F$1000,"&lt;=2024",Form127_Raw!$M$2:$M$1000,"&lt;&gt;")</f>
        <v>6</v>
      </c>
      <c r="L37" s="14">
        <f>COUNTIFS(Form127_Raw!$A$2:$A$1000,$A37,Form127_Raw!$F$2:$F$1000,"&gt;=2019",Form127_Raw!$F$2:$F$1000,"&lt;=2024",Form127_Raw!$K$2:$K$1000,"&lt;&gt;")</f>
        <v>6</v>
      </c>
      <c r="M37" s="14">
        <f>COUNTIFS(Form127_Raw!$A$2:$A$1000,$A37,Form127_Raw!$F$2:$F$1000,"&gt;=2019",Form127_Raw!$F$2:$F$1000,"&lt;=2024",Form127_Raw!$L$2:$L$1000,"&lt;&gt;")</f>
        <v>6</v>
      </c>
      <c r="N37" s="14">
        <f>COUNTIFS(Form127_Raw!$A$2:$A$1000,$A37,Form127_Raw!$F$2:$F$1000,"&gt;=2019",Form127_Raw!$F$2:$F$1000,"&lt;=2024",Form127_Raw!$P$2:$P$1000,"&lt;&gt;")</f>
        <v>6</v>
      </c>
      <c r="O37" s="29">
        <f t="shared" si="1"/>
        <v>1</v>
      </c>
      <c r="P37" s="29">
        <f t="shared" si="2"/>
        <v>1</v>
      </c>
      <c r="Q37" s="14">
        <f>COUNTIFS(Form127_Raw!$A$2:$A$1000,$A37,Form127_Raw!$F$2:$F$1000,"&gt;=2019",Form127_Raw!$F$2:$F$1000,"&lt;=2024",Form127_Raw!$N$2:$N$1000,0)+COUNTIFS(Form127_Raw!$A$2:$A$1000,$A37,Form127_Raw!$F$2:$F$1000,"&gt;=2019",Form127_Raw!$F$2:$F$1000,"&lt;=2024",Form127_Raw!$M$2:$M$1000,0)+COUNTIFS(Form127_Raw!$A$2:$A$1000,$A37,Form127_Raw!$F$2:$F$1000,"&gt;=2019",Form127_Raw!$F$2:$F$1000,"&lt;=2024",Form127_Raw!$K$2:$K$1000,0)+COUNTIFS(Form127_Raw!$A$2:$A$1000,$A37,Form127_Raw!$F$2:$F$1000,"&gt;=2019",Form127_Raw!$F$2:$F$1000,"&lt;=2024",Form127_Raw!$L$2:$L$1000,0)+COUNTIFS(Form127_Raw!$A$2:$A$1000,$A37,Form127_Raw!$F$2:$F$1000,"&gt;=2019",Form127_Raw!$F$2:$F$1000,"&lt;=2024",Form127_Raw!$P$2:$P$1000,0)</f>
        <v>0</v>
      </c>
      <c r="R37" s="29">
        <f t="shared" si="3"/>
        <v>1</v>
      </c>
      <c r="S37" s="29">
        <f>(COUNTIFS(Form127_Raw!$A$2:$A$1000,$A37,Form127_Raw!$F$2:$F$1000,"&gt;=2019",Form127_Raw!$F$2:$F$1000,"&lt;=2024",Form127_Raw!$I$2:$I$1000,"&lt;&gt;")+COUNTIFS(Form127_Raw!$A$2:$A$1000,$A37,Form127_Raw!$F$2:$F$1000,"&gt;=2019",Form127_Raw!$F$2:$F$1000,"&lt;=2024",Form127_Raw!$J$2:$J$1000,"&lt;&gt;")+COUNTIFS(Form127_Raw!$A$2:$A$1000,$A37,Form127_Raw!$F$2:$F$1000,"&gt;=2019",Form127_Raw!$F$2:$F$1000,"&lt;=2024",Form127_Raw!$O$2:$O$1000,"&lt;&gt;")+COUNTIFS(Form127_Raw!$A$2:$A$1000,$A37,Form127_Raw!$F$2:$F$1000,"&gt;=2019",Form127_Raw!$F$2:$F$1000,"&lt;=2024",Form127_Raw!$Q$2:$Q$1000,"&lt;&gt;")+COUNTIFS(Form127_Raw!$A$2:$A$1000,$A37,Form127_Raw!$F$2:$F$1000,"&gt;=2019",Form127_Raw!$F$2:$F$1000,"&lt;=2024",Form127_Raw!$R$2:$R$1000,"&lt;&gt;"))/30</f>
        <v>0</v>
      </c>
      <c r="T37" s="14" t="str">
        <f t="shared" si="4"/>
        <v>Excellent - FAA Backfill Pending</v>
      </c>
    </row>
    <row r="38" spans="1:20">
      <c r="A38" s="14" t="str">
        <f>Airport_Master!A31</f>
        <v>HNL</v>
      </c>
      <c r="B38" s="14" t="str">
        <f>Airport_Master!B31</f>
        <v>Daniel K Inouye International</v>
      </c>
      <c r="C38" s="14" t="str">
        <f>Airport_Master!E31</f>
        <v>Large</v>
      </c>
      <c r="D38" s="14">
        <f>COUNTIFS(Form127_Raw!$A$2:$A$1000,$A38,Form127_Raw!$F$2:$F$1000,"&gt;=2019",Form127_Raw!$F$2:$F$1000,"&lt;=2024")</f>
        <v>6</v>
      </c>
      <c r="E38" s="29">
        <f t="shared" si="0"/>
        <v>1</v>
      </c>
      <c r="F38" s="14">
        <f>COUNTIFS(Form127_Raw!$A$2:$A$1000,$A38,Form127_Raw!$F$2:$F$1000,"&gt;=2019",Form127_Raw!$F$2:$F$1000,"&lt;=2024",Form127_Raw!$G$2:$G$1000,"&lt;&gt;")</f>
        <v>6</v>
      </c>
      <c r="G38" s="14">
        <f>COUNTIFS(Form127_Raw!$A$2:$A$1000,$A38,Form127_Raw!$F$2:$F$1000,"&gt;=2019",Form127_Raw!$F$2:$F$1000,"&lt;=2024",Form127_Raw!$H$2:$H$1000,"&lt;&gt;")</f>
        <v>6</v>
      </c>
      <c r="H38" s="14">
        <f>COUNTIFS(Form127_Raw!$A$2:$A$1000,$A38,Form127_Raw!$F$2:$F$1000,"&gt;=2019",Form127_Raw!$F$2:$F$1000,"&lt;=2024",Form127_Raw!$S$2:$S$1000,"&lt;&gt;")</f>
        <v>6</v>
      </c>
      <c r="I38" s="14">
        <f>COUNTIFS(Form127_Raw!$A$2:$A$1000,$A38,Form127_Raw!$F$2:$F$1000,"&gt;=2019",Form127_Raw!$F$2:$F$1000,"&lt;=2024",Form127_Raw!$T$2:$T$1000,"&lt;&gt;")</f>
        <v>6</v>
      </c>
      <c r="J38" s="14">
        <f>COUNTIFS(Form127_Raw!$A$2:$A$1000,$A38,Form127_Raw!$F$2:$F$1000,"&gt;=2019",Form127_Raw!$F$2:$F$1000,"&lt;=2024",Form127_Raw!$N$2:$N$1000,"&lt;&gt;")</f>
        <v>6</v>
      </c>
      <c r="K38" s="14">
        <f>COUNTIFS(Form127_Raw!$A$2:$A$1000,$A38,Form127_Raw!$F$2:$F$1000,"&gt;=2019",Form127_Raw!$F$2:$F$1000,"&lt;=2024",Form127_Raw!$M$2:$M$1000,"&lt;&gt;")</f>
        <v>6</v>
      </c>
      <c r="L38" s="14">
        <f>COUNTIFS(Form127_Raw!$A$2:$A$1000,$A38,Form127_Raw!$F$2:$F$1000,"&gt;=2019",Form127_Raw!$F$2:$F$1000,"&lt;=2024",Form127_Raw!$K$2:$K$1000,"&lt;&gt;")</f>
        <v>6</v>
      </c>
      <c r="M38" s="14">
        <f>COUNTIFS(Form127_Raw!$A$2:$A$1000,$A38,Form127_Raw!$F$2:$F$1000,"&gt;=2019",Form127_Raw!$F$2:$F$1000,"&lt;=2024",Form127_Raw!$L$2:$L$1000,"&lt;&gt;")</f>
        <v>6</v>
      </c>
      <c r="N38" s="14">
        <f>COUNTIFS(Form127_Raw!$A$2:$A$1000,$A38,Form127_Raw!$F$2:$F$1000,"&gt;=2019",Form127_Raw!$F$2:$F$1000,"&lt;=2024",Form127_Raw!$P$2:$P$1000,"&lt;&gt;")</f>
        <v>6</v>
      </c>
      <c r="O38" s="29">
        <f t="shared" si="1"/>
        <v>1</v>
      </c>
      <c r="P38" s="29">
        <f t="shared" si="2"/>
        <v>1</v>
      </c>
      <c r="Q38" s="14">
        <f>COUNTIFS(Form127_Raw!$A$2:$A$1000,$A38,Form127_Raw!$F$2:$F$1000,"&gt;=2019",Form127_Raw!$F$2:$F$1000,"&lt;=2024",Form127_Raw!$N$2:$N$1000,0)+COUNTIFS(Form127_Raw!$A$2:$A$1000,$A38,Form127_Raw!$F$2:$F$1000,"&gt;=2019",Form127_Raw!$F$2:$F$1000,"&lt;=2024",Form127_Raw!$M$2:$M$1000,0)+COUNTIFS(Form127_Raw!$A$2:$A$1000,$A38,Form127_Raw!$F$2:$F$1000,"&gt;=2019",Form127_Raw!$F$2:$F$1000,"&lt;=2024",Form127_Raw!$K$2:$K$1000,0)+COUNTIFS(Form127_Raw!$A$2:$A$1000,$A38,Form127_Raw!$F$2:$F$1000,"&gt;=2019",Form127_Raw!$F$2:$F$1000,"&lt;=2024",Form127_Raw!$L$2:$L$1000,0)+COUNTIFS(Form127_Raw!$A$2:$A$1000,$A38,Form127_Raw!$F$2:$F$1000,"&gt;=2019",Form127_Raw!$F$2:$F$1000,"&lt;=2024",Form127_Raw!$P$2:$P$1000,0)</f>
        <v>0</v>
      </c>
      <c r="R38" s="29">
        <f t="shared" si="3"/>
        <v>1</v>
      </c>
      <c r="S38" s="29">
        <f>(COUNTIFS(Form127_Raw!$A$2:$A$1000,$A38,Form127_Raw!$F$2:$F$1000,"&gt;=2019",Form127_Raw!$F$2:$F$1000,"&lt;=2024",Form127_Raw!$I$2:$I$1000,"&lt;&gt;")+COUNTIFS(Form127_Raw!$A$2:$A$1000,$A38,Form127_Raw!$F$2:$F$1000,"&gt;=2019",Form127_Raw!$F$2:$F$1000,"&lt;=2024",Form127_Raw!$J$2:$J$1000,"&lt;&gt;")+COUNTIFS(Form127_Raw!$A$2:$A$1000,$A38,Form127_Raw!$F$2:$F$1000,"&gt;=2019",Form127_Raw!$F$2:$F$1000,"&lt;=2024",Form127_Raw!$O$2:$O$1000,"&lt;&gt;")+COUNTIFS(Form127_Raw!$A$2:$A$1000,$A38,Form127_Raw!$F$2:$F$1000,"&gt;=2019",Form127_Raw!$F$2:$F$1000,"&lt;=2024",Form127_Raw!$Q$2:$Q$1000,"&lt;&gt;")+COUNTIFS(Form127_Raw!$A$2:$A$1000,$A38,Form127_Raw!$F$2:$F$1000,"&gt;=2019",Form127_Raw!$F$2:$F$1000,"&lt;=2024",Form127_Raw!$R$2:$R$1000,"&lt;&gt;"))/30</f>
        <v>0</v>
      </c>
      <c r="T38" s="14" t="str">
        <f t="shared" si="4"/>
        <v>Excellent - FAA Backfill Pending</v>
      </c>
    </row>
    <row r="39" spans="1:20">
      <c r="A39" s="14" t="str">
        <f>Airport_Master!A32</f>
        <v>MDW</v>
      </c>
      <c r="B39" s="14" t="str">
        <f>Airport_Master!B32</f>
        <v>Chicago Midway International</v>
      </c>
      <c r="C39" s="14" t="str">
        <f>Airport_Master!E32</f>
        <v>Large</v>
      </c>
      <c r="D39" s="14">
        <f>COUNTIFS(Form127_Raw!$A$2:$A$1000,$A39,Form127_Raw!$F$2:$F$1000,"&gt;=2019",Form127_Raw!$F$2:$F$1000,"&lt;=2024")</f>
        <v>6</v>
      </c>
      <c r="E39" s="29">
        <f t="shared" si="0"/>
        <v>1</v>
      </c>
      <c r="F39" s="14">
        <f>COUNTIFS(Form127_Raw!$A$2:$A$1000,$A39,Form127_Raw!$F$2:$F$1000,"&gt;=2019",Form127_Raw!$F$2:$F$1000,"&lt;=2024",Form127_Raw!$G$2:$G$1000,"&lt;&gt;")</f>
        <v>6</v>
      </c>
      <c r="G39" s="14">
        <f>COUNTIFS(Form127_Raw!$A$2:$A$1000,$A39,Form127_Raw!$F$2:$F$1000,"&gt;=2019",Form127_Raw!$F$2:$F$1000,"&lt;=2024",Form127_Raw!$H$2:$H$1000,"&lt;&gt;")</f>
        <v>6</v>
      </c>
      <c r="H39" s="14">
        <f>COUNTIFS(Form127_Raw!$A$2:$A$1000,$A39,Form127_Raw!$F$2:$F$1000,"&gt;=2019",Form127_Raw!$F$2:$F$1000,"&lt;=2024",Form127_Raw!$S$2:$S$1000,"&lt;&gt;")</f>
        <v>6</v>
      </c>
      <c r="I39" s="14">
        <f>COUNTIFS(Form127_Raw!$A$2:$A$1000,$A39,Form127_Raw!$F$2:$F$1000,"&gt;=2019",Form127_Raw!$F$2:$F$1000,"&lt;=2024",Form127_Raw!$T$2:$T$1000,"&lt;&gt;")</f>
        <v>6</v>
      </c>
      <c r="J39" s="14">
        <f>COUNTIFS(Form127_Raw!$A$2:$A$1000,$A39,Form127_Raw!$F$2:$F$1000,"&gt;=2019",Form127_Raw!$F$2:$F$1000,"&lt;=2024",Form127_Raw!$N$2:$N$1000,"&lt;&gt;")</f>
        <v>6</v>
      </c>
      <c r="K39" s="14">
        <f>COUNTIFS(Form127_Raw!$A$2:$A$1000,$A39,Form127_Raw!$F$2:$F$1000,"&gt;=2019",Form127_Raw!$F$2:$F$1000,"&lt;=2024",Form127_Raw!$M$2:$M$1000,"&lt;&gt;")</f>
        <v>6</v>
      </c>
      <c r="L39" s="14">
        <f>COUNTIFS(Form127_Raw!$A$2:$A$1000,$A39,Form127_Raw!$F$2:$F$1000,"&gt;=2019",Form127_Raw!$F$2:$F$1000,"&lt;=2024",Form127_Raw!$K$2:$K$1000,"&lt;&gt;")</f>
        <v>6</v>
      </c>
      <c r="M39" s="14">
        <f>COUNTIFS(Form127_Raw!$A$2:$A$1000,$A39,Form127_Raw!$F$2:$F$1000,"&gt;=2019",Form127_Raw!$F$2:$F$1000,"&lt;=2024",Form127_Raw!$L$2:$L$1000,"&lt;&gt;")</f>
        <v>6</v>
      </c>
      <c r="N39" s="14">
        <f>COUNTIFS(Form127_Raw!$A$2:$A$1000,$A39,Form127_Raw!$F$2:$F$1000,"&gt;=2019",Form127_Raw!$F$2:$F$1000,"&lt;=2024",Form127_Raw!$P$2:$P$1000,"&lt;&gt;")</f>
        <v>6</v>
      </c>
      <c r="O39" s="29">
        <f t="shared" si="1"/>
        <v>1</v>
      </c>
      <c r="P39" s="29">
        <f t="shared" si="2"/>
        <v>1</v>
      </c>
      <c r="Q39" s="14">
        <f>COUNTIFS(Form127_Raw!$A$2:$A$1000,$A39,Form127_Raw!$F$2:$F$1000,"&gt;=2019",Form127_Raw!$F$2:$F$1000,"&lt;=2024",Form127_Raw!$N$2:$N$1000,0)+COUNTIFS(Form127_Raw!$A$2:$A$1000,$A39,Form127_Raw!$F$2:$F$1000,"&gt;=2019",Form127_Raw!$F$2:$F$1000,"&lt;=2024",Form127_Raw!$M$2:$M$1000,0)+COUNTIFS(Form127_Raw!$A$2:$A$1000,$A39,Form127_Raw!$F$2:$F$1000,"&gt;=2019",Form127_Raw!$F$2:$F$1000,"&lt;=2024",Form127_Raw!$K$2:$K$1000,0)+COUNTIFS(Form127_Raw!$A$2:$A$1000,$A39,Form127_Raw!$F$2:$F$1000,"&gt;=2019",Form127_Raw!$F$2:$F$1000,"&lt;=2024",Form127_Raw!$L$2:$L$1000,0)+COUNTIFS(Form127_Raw!$A$2:$A$1000,$A39,Form127_Raw!$F$2:$F$1000,"&gt;=2019",Form127_Raw!$F$2:$F$1000,"&lt;=2024",Form127_Raw!$P$2:$P$1000,0)</f>
        <v>0</v>
      </c>
      <c r="R39" s="29">
        <f t="shared" si="3"/>
        <v>1</v>
      </c>
      <c r="S39" s="29">
        <f>(COUNTIFS(Form127_Raw!$A$2:$A$1000,$A39,Form127_Raw!$F$2:$F$1000,"&gt;=2019",Form127_Raw!$F$2:$F$1000,"&lt;=2024",Form127_Raw!$I$2:$I$1000,"&lt;&gt;")+COUNTIFS(Form127_Raw!$A$2:$A$1000,$A39,Form127_Raw!$F$2:$F$1000,"&gt;=2019",Form127_Raw!$F$2:$F$1000,"&lt;=2024",Form127_Raw!$J$2:$J$1000,"&lt;&gt;")+COUNTIFS(Form127_Raw!$A$2:$A$1000,$A39,Form127_Raw!$F$2:$F$1000,"&gt;=2019",Form127_Raw!$F$2:$F$1000,"&lt;=2024",Form127_Raw!$O$2:$O$1000,"&lt;&gt;")+COUNTIFS(Form127_Raw!$A$2:$A$1000,$A39,Form127_Raw!$F$2:$F$1000,"&gt;=2019",Form127_Raw!$F$2:$F$1000,"&lt;=2024",Form127_Raw!$Q$2:$Q$1000,"&lt;&gt;")+COUNTIFS(Form127_Raw!$A$2:$A$1000,$A39,Form127_Raw!$F$2:$F$1000,"&gt;=2019",Form127_Raw!$F$2:$F$1000,"&lt;=2024",Form127_Raw!$R$2:$R$1000,"&lt;&gt;"))/30</f>
        <v>0</v>
      </c>
      <c r="T39" s="14" t="str">
        <f t="shared" si="4"/>
        <v>Excellent - FAA Backfill Pending</v>
      </c>
    </row>
    <row r="40" spans="1:20">
      <c r="A40" s="14" t="str">
        <f>Airport_Master!A33</f>
        <v>DAL</v>
      </c>
      <c r="B40" s="14" t="str">
        <f>Airport_Master!B33</f>
        <v>Dallas Love Field</v>
      </c>
      <c r="C40" s="14" t="str">
        <f>Airport_Master!E33</f>
        <v>Medium</v>
      </c>
      <c r="D40" s="14">
        <f>COUNTIFS(Form127_Raw!$A$2:$A$1000,$A40,Form127_Raw!$F$2:$F$1000,"&gt;=2019",Form127_Raw!$F$2:$F$1000,"&lt;=2024")</f>
        <v>6</v>
      </c>
      <c r="E40" s="29">
        <f t="shared" si="0"/>
        <v>1</v>
      </c>
      <c r="F40" s="14">
        <f>COUNTIFS(Form127_Raw!$A$2:$A$1000,$A40,Form127_Raw!$F$2:$F$1000,"&gt;=2019",Form127_Raw!$F$2:$F$1000,"&lt;=2024",Form127_Raw!$G$2:$G$1000,"&lt;&gt;")</f>
        <v>6</v>
      </c>
      <c r="G40" s="14">
        <f>COUNTIFS(Form127_Raw!$A$2:$A$1000,$A40,Form127_Raw!$F$2:$F$1000,"&gt;=2019",Form127_Raw!$F$2:$F$1000,"&lt;=2024",Form127_Raw!$H$2:$H$1000,"&lt;&gt;")</f>
        <v>6</v>
      </c>
      <c r="H40" s="14">
        <f>COUNTIFS(Form127_Raw!$A$2:$A$1000,$A40,Form127_Raw!$F$2:$F$1000,"&gt;=2019",Form127_Raw!$F$2:$F$1000,"&lt;=2024",Form127_Raw!$S$2:$S$1000,"&lt;&gt;")</f>
        <v>6</v>
      </c>
      <c r="I40" s="14">
        <f>COUNTIFS(Form127_Raw!$A$2:$A$1000,$A40,Form127_Raw!$F$2:$F$1000,"&gt;=2019",Form127_Raw!$F$2:$F$1000,"&lt;=2024",Form127_Raw!$T$2:$T$1000,"&lt;&gt;")</f>
        <v>6</v>
      </c>
      <c r="J40" s="14">
        <f>COUNTIFS(Form127_Raw!$A$2:$A$1000,$A40,Form127_Raw!$F$2:$F$1000,"&gt;=2019",Form127_Raw!$F$2:$F$1000,"&lt;=2024",Form127_Raw!$N$2:$N$1000,"&lt;&gt;")</f>
        <v>6</v>
      </c>
      <c r="K40" s="14">
        <f>COUNTIFS(Form127_Raw!$A$2:$A$1000,$A40,Form127_Raw!$F$2:$F$1000,"&gt;=2019",Form127_Raw!$F$2:$F$1000,"&lt;=2024",Form127_Raw!$M$2:$M$1000,"&lt;&gt;")</f>
        <v>6</v>
      </c>
      <c r="L40" s="14">
        <f>COUNTIFS(Form127_Raw!$A$2:$A$1000,$A40,Form127_Raw!$F$2:$F$1000,"&gt;=2019",Form127_Raw!$F$2:$F$1000,"&lt;=2024",Form127_Raw!$K$2:$K$1000,"&lt;&gt;")</f>
        <v>6</v>
      </c>
      <c r="M40" s="14">
        <f>COUNTIFS(Form127_Raw!$A$2:$A$1000,$A40,Form127_Raw!$F$2:$F$1000,"&gt;=2019",Form127_Raw!$F$2:$F$1000,"&lt;=2024",Form127_Raw!$L$2:$L$1000,"&lt;&gt;")</f>
        <v>6</v>
      </c>
      <c r="N40" s="14">
        <f>COUNTIFS(Form127_Raw!$A$2:$A$1000,$A40,Form127_Raw!$F$2:$F$1000,"&gt;=2019",Form127_Raw!$F$2:$F$1000,"&lt;=2024",Form127_Raw!$P$2:$P$1000,"&lt;&gt;")</f>
        <v>6</v>
      </c>
      <c r="O40" s="29">
        <f t="shared" si="1"/>
        <v>1</v>
      </c>
      <c r="P40" s="29">
        <f t="shared" si="2"/>
        <v>1</v>
      </c>
      <c r="Q40" s="14">
        <f>COUNTIFS(Form127_Raw!$A$2:$A$1000,$A40,Form127_Raw!$F$2:$F$1000,"&gt;=2019",Form127_Raw!$F$2:$F$1000,"&lt;=2024",Form127_Raw!$N$2:$N$1000,0)+COUNTIFS(Form127_Raw!$A$2:$A$1000,$A40,Form127_Raw!$F$2:$F$1000,"&gt;=2019",Form127_Raw!$F$2:$F$1000,"&lt;=2024",Form127_Raw!$M$2:$M$1000,0)+COUNTIFS(Form127_Raw!$A$2:$A$1000,$A40,Form127_Raw!$F$2:$F$1000,"&gt;=2019",Form127_Raw!$F$2:$F$1000,"&lt;=2024",Form127_Raw!$K$2:$K$1000,0)+COUNTIFS(Form127_Raw!$A$2:$A$1000,$A40,Form127_Raw!$F$2:$F$1000,"&gt;=2019",Form127_Raw!$F$2:$F$1000,"&lt;=2024",Form127_Raw!$L$2:$L$1000,0)+COUNTIFS(Form127_Raw!$A$2:$A$1000,$A40,Form127_Raw!$F$2:$F$1000,"&gt;=2019",Form127_Raw!$F$2:$F$1000,"&lt;=2024",Form127_Raw!$P$2:$P$1000,0)</f>
        <v>0</v>
      </c>
      <c r="R40" s="29">
        <f t="shared" si="3"/>
        <v>1</v>
      </c>
      <c r="S40" s="29">
        <f>(COUNTIFS(Form127_Raw!$A$2:$A$1000,$A40,Form127_Raw!$F$2:$F$1000,"&gt;=2019",Form127_Raw!$F$2:$F$1000,"&lt;=2024",Form127_Raw!$I$2:$I$1000,"&lt;&gt;")+COUNTIFS(Form127_Raw!$A$2:$A$1000,$A40,Form127_Raw!$F$2:$F$1000,"&gt;=2019",Form127_Raw!$F$2:$F$1000,"&lt;=2024",Form127_Raw!$J$2:$J$1000,"&lt;&gt;")+COUNTIFS(Form127_Raw!$A$2:$A$1000,$A40,Form127_Raw!$F$2:$F$1000,"&gt;=2019",Form127_Raw!$F$2:$F$1000,"&lt;=2024",Form127_Raw!$O$2:$O$1000,"&lt;&gt;")+COUNTIFS(Form127_Raw!$A$2:$A$1000,$A40,Form127_Raw!$F$2:$F$1000,"&gt;=2019",Form127_Raw!$F$2:$F$1000,"&lt;=2024",Form127_Raw!$Q$2:$Q$1000,"&lt;&gt;")+COUNTIFS(Form127_Raw!$A$2:$A$1000,$A40,Form127_Raw!$F$2:$F$1000,"&gt;=2019",Form127_Raw!$F$2:$F$1000,"&lt;=2024",Form127_Raw!$R$2:$R$1000,"&lt;&gt;"))/30</f>
        <v>0</v>
      </c>
      <c r="T40" s="14" t="str">
        <f t="shared" si="4"/>
        <v>Excellent - FAA Backfill Pending</v>
      </c>
    </row>
    <row r="41" spans="1:20">
      <c r="A41" s="14" t="str">
        <f>Airport_Master!A34</f>
        <v>PDX</v>
      </c>
      <c r="B41" s="14" t="str">
        <f>Airport_Master!B34</f>
        <v>Portland International</v>
      </c>
      <c r="C41" s="14" t="str">
        <f>Airport_Master!E34</f>
        <v>Medium</v>
      </c>
      <c r="D41" s="14">
        <f>COUNTIFS(Form127_Raw!$A$2:$A$1000,$A41,Form127_Raw!$F$2:$F$1000,"&gt;=2019",Form127_Raw!$F$2:$F$1000,"&lt;=2024")</f>
        <v>0</v>
      </c>
      <c r="E41" s="29">
        <f t="shared" ref="E41:E72" si="5">D41/6</f>
        <v>0</v>
      </c>
      <c r="F41" s="14">
        <f>COUNTIFS(Form127_Raw!$A$2:$A$1000,$A41,Form127_Raw!$F$2:$F$1000,"&gt;=2019",Form127_Raw!$F$2:$F$1000,"&lt;=2024",Form127_Raw!$G$2:$G$1000,"&lt;&gt;")</f>
        <v>0</v>
      </c>
      <c r="G41" s="14">
        <f>COUNTIFS(Form127_Raw!$A$2:$A$1000,$A41,Form127_Raw!$F$2:$F$1000,"&gt;=2019",Form127_Raw!$F$2:$F$1000,"&lt;=2024",Form127_Raw!$H$2:$H$1000,"&lt;&gt;")</f>
        <v>0</v>
      </c>
      <c r="H41" s="14">
        <f>COUNTIFS(Form127_Raw!$A$2:$A$1000,$A41,Form127_Raw!$F$2:$F$1000,"&gt;=2019",Form127_Raw!$F$2:$F$1000,"&lt;=2024",Form127_Raw!$S$2:$S$1000,"&lt;&gt;")</f>
        <v>0</v>
      </c>
      <c r="I41" s="14">
        <f>COUNTIFS(Form127_Raw!$A$2:$A$1000,$A41,Form127_Raw!$F$2:$F$1000,"&gt;=2019",Form127_Raw!$F$2:$F$1000,"&lt;=2024",Form127_Raw!$T$2:$T$1000,"&lt;&gt;")</f>
        <v>0</v>
      </c>
      <c r="J41" s="14">
        <f>COUNTIFS(Form127_Raw!$A$2:$A$1000,$A41,Form127_Raw!$F$2:$F$1000,"&gt;=2019",Form127_Raw!$F$2:$F$1000,"&lt;=2024",Form127_Raw!$N$2:$N$1000,"&lt;&gt;")</f>
        <v>0</v>
      </c>
      <c r="K41" s="14">
        <f>COUNTIFS(Form127_Raw!$A$2:$A$1000,$A41,Form127_Raw!$F$2:$F$1000,"&gt;=2019",Form127_Raw!$F$2:$F$1000,"&lt;=2024",Form127_Raw!$M$2:$M$1000,"&lt;&gt;")</f>
        <v>0</v>
      </c>
      <c r="L41" s="14">
        <f>COUNTIFS(Form127_Raw!$A$2:$A$1000,$A41,Form127_Raw!$F$2:$F$1000,"&gt;=2019",Form127_Raw!$F$2:$F$1000,"&lt;=2024",Form127_Raw!$K$2:$K$1000,"&lt;&gt;")</f>
        <v>0</v>
      </c>
      <c r="M41" s="14">
        <f>COUNTIFS(Form127_Raw!$A$2:$A$1000,$A41,Form127_Raw!$F$2:$F$1000,"&gt;=2019",Form127_Raw!$F$2:$F$1000,"&lt;=2024",Form127_Raw!$L$2:$L$1000,"&lt;&gt;")</f>
        <v>0</v>
      </c>
      <c r="N41" s="14">
        <f>COUNTIFS(Form127_Raw!$A$2:$A$1000,$A41,Form127_Raw!$F$2:$F$1000,"&gt;=2019",Form127_Raw!$F$2:$F$1000,"&lt;=2024",Form127_Raw!$P$2:$P$1000,"&lt;&gt;")</f>
        <v>0</v>
      </c>
      <c r="O41" s="29">
        <f t="shared" ref="O41:O71" si="6">SUM(F41:I41)/24</f>
        <v>0</v>
      </c>
      <c r="P41" s="29">
        <f t="shared" ref="P41:P71" si="7">SUM(J41:N41)/30</f>
        <v>0</v>
      </c>
      <c r="Q41" s="14">
        <f>COUNTIFS(Form127_Raw!$A$2:$A$1000,$A41,Form127_Raw!$F$2:$F$1000,"&gt;=2019",Form127_Raw!$F$2:$F$1000,"&lt;=2024",Form127_Raw!$N$2:$N$1000,0)+COUNTIFS(Form127_Raw!$A$2:$A$1000,$A41,Form127_Raw!$F$2:$F$1000,"&gt;=2019",Form127_Raw!$F$2:$F$1000,"&lt;=2024",Form127_Raw!$M$2:$M$1000,0)+COUNTIFS(Form127_Raw!$A$2:$A$1000,$A41,Form127_Raw!$F$2:$F$1000,"&gt;=2019",Form127_Raw!$F$2:$F$1000,"&lt;=2024",Form127_Raw!$K$2:$K$1000,0)+COUNTIFS(Form127_Raw!$A$2:$A$1000,$A41,Form127_Raw!$F$2:$F$1000,"&gt;=2019",Form127_Raw!$F$2:$F$1000,"&lt;=2024",Form127_Raw!$L$2:$L$1000,0)+COUNTIFS(Form127_Raw!$A$2:$A$1000,$A41,Form127_Raw!$F$2:$F$1000,"&gt;=2019",Form127_Raw!$F$2:$F$1000,"&lt;=2024",Form127_Raw!$P$2:$P$1000,0)</f>
        <v>0</v>
      </c>
      <c r="R41" s="29">
        <f t="shared" ref="R41:R71" si="8">O41*0.6+P41*0.4</f>
        <v>0</v>
      </c>
      <c r="S41" s="29">
        <f>(COUNTIFS(Form127_Raw!$A$2:$A$1000,$A41,Form127_Raw!$F$2:$F$1000,"&gt;=2019",Form127_Raw!$F$2:$F$1000,"&lt;=2024",Form127_Raw!$I$2:$I$1000,"&lt;&gt;")+COUNTIFS(Form127_Raw!$A$2:$A$1000,$A41,Form127_Raw!$F$2:$F$1000,"&gt;=2019",Form127_Raw!$F$2:$F$1000,"&lt;=2024",Form127_Raw!$J$2:$J$1000,"&lt;&gt;")+COUNTIFS(Form127_Raw!$A$2:$A$1000,$A41,Form127_Raw!$F$2:$F$1000,"&gt;=2019",Form127_Raw!$F$2:$F$1000,"&lt;=2024",Form127_Raw!$O$2:$O$1000,"&lt;&gt;")+COUNTIFS(Form127_Raw!$A$2:$A$1000,$A41,Form127_Raw!$F$2:$F$1000,"&gt;=2019",Form127_Raw!$F$2:$F$1000,"&lt;=2024",Form127_Raw!$Q$2:$Q$1000,"&lt;&gt;")+COUNTIFS(Form127_Raw!$A$2:$A$1000,$A41,Form127_Raw!$F$2:$F$1000,"&gt;=2019",Form127_Raw!$F$2:$F$1000,"&lt;=2024",Form127_Raw!$R$2:$R$1000,"&lt;&gt;"))/30</f>
        <v>0</v>
      </c>
      <c r="T41" s="14" t="str">
        <f t="shared" ref="T41:T72" si="9">IF(D41=0,"Not Loaded",IF(R41&gt;=0.9,IF(S41=1,"Ready for Final Selection","Excellent - FAA Backfill Pending"),IF(R41&gt;=0.8,"Good - Review Missing Fields",IF(R41&gt;=0.7,"Manual Review","Exclude / Incomplete"))))</f>
        <v>Not Loaded</v>
      </c>
    </row>
    <row r="42" spans="1:20">
      <c r="A42" s="14" t="str">
        <f>Airport_Master!A35</f>
        <v>STL</v>
      </c>
      <c r="B42" s="14" t="str">
        <f>Airport_Master!B35</f>
        <v>St Louis Lambert International</v>
      </c>
      <c r="C42" s="14" t="str">
        <f>Airport_Master!E35</f>
        <v>Medium</v>
      </c>
      <c r="D42" s="14">
        <f>COUNTIFS(Form127_Raw!$A$2:$A$1000,$A42,Form127_Raw!$F$2:$F$1000,"&gt;=2019",Form127_Raw!$F$2:$F$1000,"&lt;=2024")</f>
        <v>0</v>
      </c>
      <c r="E42" s="29">
        <f t="shared" si="5"/>
        <v>0</v>
      </c>
      <c r="F42" s="14">
        <f>COUNTIFS(Form127_Raw!$A$2:$A$1000,$A42,Form127_Raw!$F$2:$F$1000,"&gt;=2019",Form127_Raw!$F$2:$F$1000,"&lt;=2024",Form127_Raw!$G$2:$G$1000,"&lt;&gt;")</f>
        <v>0</v>
      </c>
      <c r="G42" s="14">
        <f>COUNTIFS(Form127_Raw!$A$2:$A$1000,$A42,Form127_Raw!$F$2:$F$1000,"&gt;=2019",Form127_Raw!$F$2:$F$1000,"&lt;=2024",Form127_Raw!$H$2:$H$1000,"&lt;&gt;")</f>
        <v>0</v>
      </c>
      <c r="H42" s="14">
        <f>COUNTIFS(Form127_Raw!$A$2:$A$1000,$A42,Form127_Raw!$F$2:$F$1000,"&gt;=2019",Form127_Raw!$F$2:$F$1000,"&lt;=2024",Form127_Raw!$S$2:$S$1000,"&lt;&gt;")</f>
        <v>0</v>
      </c>
      <c r="I42" s="14">
        <f>COUNTIFS(Form127_Raw!$A$2:$A$1000,$A42,Form127_Raw!$F$2:$F$1000,"&gt;=2019",Form127_Raw!$F$2:$F$1000,"&lt;=2024",Form127_Raw!$T$2:$T$1000,"&lt;&gt;")</f>
        <v>0</v>
      </c>
      <c r="J42" s="14">
        <f>COUNTIFS(Form127_Raw!$A$2:$A$1000,$A42,Form127_Raw!$F$2:$F$1000,"&gt;=2019",Form127_Raw!$F$2:$F$1000,"&lt;=2024",Form127_Raw!$N$2:$N$1000,"&lt;&gt;")</f>
        <v>0</v>
      </c>
      <c r="K42" s="14">
        <f>COUNTIFS(Form127_Raw!$A$2:$A$1000,$A42,Form127_Raw!$F$2:$F$1000,"&gt;=2019",Form127_Raw!$F$2:$F$1000,"&lt;=2024",Form127_Raw!$M$2:$M$1000,"&lt;&gt;")</f>
        <v>0</v>
      </c>
      <c r="L42" s="14">
        <f>COUNTIFS(Form127_Raw!$A$2:$A$1000,$A42,Form127_Raw!$F$2:$F$1000,"&gt;=2019",Form127_Raw!$F$2:$F$1000,"&lt;=2024",Form127_Raw!$K$2:$K$1000,"&lt;&gt;")</f>
        <v>0</v>
      </c>
      <c r="M42" s="14">
        <f>COUNTIFS(Form127_Raw!$A$2:$A$1000,$A42,Form127_Raw!$F$2:$F$1000,"&gt;=2019",Form127_Raw!$F$2:$F$1000,"&lt;=2024",Form127_Raw!$L$2:$L$1000,"&lt;&gt;")</f>
        <v>0</v>
      </c>
      <c r="N42" s="14">
        <f>COUNTIFS(Form127_Raw!$A$2:$A$1000,$A42,Form127_Raw!$F$2:$F$1000,"&gt;=2019",Form127_Raw!$F$2:$F$1000,"&lt;=2024",Form127_Raw!$P$2:$P$1000,"&lt;&gt;")</f>
        <v>0</v>
      </c>
      <c r="O42" s="29">
        <f t="shared" si="6"/>
        <v>0</v>
      </c>
      <c r="P42" s="29">
        <f t="shared" si="7"/>
        <v>0</v>
      </c>
      <c r="Q42" s="14">
        <f>COUNTIFS(Form127_Raw!$A$2:$A$1000,$A42,Form127_Raw!$F$2:$F$1000,"&gt;=2019",Form127_Raw!$F$2:$F$1000,"&lt;=2024",Form127_Raw!$N$2:$N$1000,0)+COUNTIFS(Form127_Raw!$A$2:$A$1000,$A42,Form127_Raw!$F$2:$F$1000,"&gt;=2019",Form127_Raw!$F$2:$F$1000,"&lt;=2024",Form127_Raw!$M$2:$M$1000,0)+COUNTIFS(Form127_Raw!$A$2:$A$1000,$A42,Form127_Raw!$F$2:$F$1000,"&gt;=2019",Form127_Raw!$F$2:$F$1000,"&lt;=2024",Form127_Raw!$K$2:$K$1000,0)+COUNTIFS(Form127_Raw!$A$2:$A$1000,$A42,Form127_Raw!$F$2:$F$1000,"&gt;=2019",Form127_Raw!$F$2:$F$1000,"&lt;=2024",Form127_Raw!$L$2:$L$1000,0)+COUNTIFS(Form127_Raw!$A$2:$A$1000,$A42,Form127_Raw!$F$2:$F$1000,"&gt;=2019",Form127_Raw!$F$2:$F$1000,"&lt;=2024",Form127_Raw!$P$2:$P$1000,0)</f>
        <v>0</v>
      </c>
      <c r="R42" s="29">
        <f t="shared" si="8"/>
        <v>0</v>
      </c>
      <c r="S42" s="29">
        <f>(COUNTIFS(Form127_Raw!$A$2:$A$1000,$A42,Form127_Raw!$F$2:$F$1000,"&gt;=2019",Form127_Raw!$F$2:$F$1000,"&lt;=2024",Form127_Raw!$I$2:$I$1000,"&lt;&gt;")+COUNTIFS(Form127_Raw!$A$2:$A$1000,$A42,Form127_Raw!$F$2:$F$1000,"&gt;=2019",Form127_Raw!$F$2:$F$1000,"&lt;=2024",Form127_Raw!$J$2:$J$1000,"&lt;&gt;")+COUNTIFS(Form127_Raw!$A$2:$A$1000,$A42,Form127_Raw!$F$2:$F$1000,"&gt;=2019",Form127_Raw!$F$2:$F$1000,"&lt;=2024",Form127_Raw!$O$2:$O$1000,"&lt;&gt;")+COUNTIFS(Form127_Raw!$A$2:$A$1000,$A42,Form127_Raw!$F$2:$F$1000,"&gt;=2019",Form127_Raw!$F$2:$F$1000,"&lt;=2024",Form127_Raw!$Q$2:$Q$1000,"&lt;&gt;")+COUNTIFS(Form127_Raw!$A$2:$A$1000,$A42,Form127_Raw!$F$2:$F$1000,"&gt;=2019",Form127_Raw!$F$2:$F$1000,"&lt;=2024",Form127_Raw!$R$2:$R$1000,"&lt;&gt;"))/30</f>
        <v>0</v>
      </c>
      <c r="T42" s="14" t="str">
        <f t="shared" si="9"/>
        <v>Not Loaded</v>
      </c>
    </row>
    <row r="43" spans="1:20">
      <c r="A43" s="14" t="str">
        <f>Airport_Master!A36</f>
        <v>RDU</v>
      </c>
      <c r="B43" s="14" t="str">
        <f>Airport_Master!B36</f>
        <v>Raleigh-Durham International</v>
      </c>
      <c r="C43" s="14" t="str">
        <f>Airport_Master!E36</f>
        <v>Medium</v>
      </c>
      <c r="D43" s="14">
        <f>COUNTIFS(Form127_Raw!$A$2:$A$1000,$A43,Form127_Raw!$F$2:$F$1000,"&gt;=2019",Form127_Raw!$F$2:$F$1000,"&lt;=2024")</f>
        <v>0</v>
      </c>
      <c r="E43" s="29">
        <f t="shared" si="5"/>
        <v>0</v>
      </c>
      <c r="F43" s="14">
        <f>COUNTIFS(Form127_Raw!$A$2:$A$1000,$A43,Form127_Raw!$F$2:$F$1000,"&gt;=2019",Form127_Raw!$F$2:$F$1000,"&lt;=2024",Form127_Raw!$G$2:$G$1000,"&lt;&gt;")</f>
        <v>0</v>
      </c>
      <c r="G43" s="14">
        <f>COUNTIFS(Form127_Raw!$A$2:$A$1000,$A43,Form127_Raw!$F$2:$F$1000,"&gt;=2019",Form127_Raw!$F$2:$F$1000,"&lt;=2024",Form127_Raw!$H$2:$H$1000,"&lt;&gt;")</f>
        <v>0</v>
      </c>
      <c r="H43" s="14">
        <f>COUNTIFS(Form127_Raw!$A$2:$A$1000,$A43,Form127_Raw!$F$2:$F$1000,"&gt;=2019",Form127_Raw!$F$2:$F$1000,"&lt;=2024",Form127_Raw!$S$2:$S$1000,"&lt;&gt;")</f>
        <v>0</v>
      </c>
      <c r="I43" s="14">
        <f>COUNTIFS(Form127_Raw!$A$2:$A$1000,$A43,Form127_Raw!$F$2:$F$1000,"&gt;=2019",Form127_Raw!$F$2:$F$1000,"&lt;=2024",Form127_Raw!$T$2:$T$1000,"&lt;&gt;")</f>
        <v>0</v>
      </c>
      <c r="J43" s="14">
        <f>COUNTIFS(Form127_Raw!$A$2:$A$1000,$A43,Form127_Raw!$F$2:$F$1000,"&gt;=2019",Form127_Raw!$F$2:$F$1000,"&lt;=2024",Form127_Raw!$N$2:$N$1000,"&lt;&gt;")</f>
        <v>0</v>
      </c>
      <c r="K43" s="14">
        <f>COUNTIFS(Form127_Raw!$A$2:$A$1000,$A43,Form127_Raw!$F$2:$F$1000,"&gt;=2019",Form127_Raw!$F$2:$F$1000,"&lt;=2024",Form127_Raw!$M$2:$M$1000,"&lt;&gt;")</f>
        <v>0</v>
      </c>
      <c r="L43" s="14">
        <f>COUNTIFS(Form127_Raw!$A$2:$A$1000,$A43,Form127_Raw!$F$2:$F$1000,"&gt;=2019",Form127_Raw!$F$2:$F$1000,"&lt;=2024",Form127_Raw!$K$2:$K$1000,"&lt;&gt;")</f>
        <v>0</v>
      </c>
      <c r="M43" s="14">
        <f>COUNTIFS(Form127_Raw!$A$2:$A$1000,$A43,Form127_Raw!$F$2:$F$1000,"&gt;=2019",Form127_Raw!$F$2:$F$1000,"&lt;=2024",Form127_Raw!$L$2:$L$1000,"&lt;&gt;")</f>
        <v>0</v>
      </c>
      <c r="N43" s="14">
        <f>COUNTIFS(Form127_Raw!$A$2:$A$1000,$A43,Form127_Raw!$F$2:$F$1000,"&gt;=2019",Form127_Raw!$F$2:$F$1000,"&lt;=2024",Form127_Raw!$P$2:$P$1000,"&lt;&gt;")</f>
        <v>0</v>
      </c>
      <c r="O43" s="29">
        <f t="shared" si="6"/>
        <v>0</v>
      </c>
      <c r="P43" s="29">
        <f t="shared" si="7"/>
        <v>0</v>
      </c>
      <c r="Q43" s="14">
        <f>COUNTIFS(Form127_Raw!$A$2:$A$1000,$A43,Form127_Raw!$F$2:$F$1000,"&gt;=2019",Form127_Raw!$F$2:$F$1000,"&lt;=2024",Form127_Raw!$N$2:$N$1000,0)+COUNTIFS(Form127_Raw!$A$2:$A$1000,$A43,Form127_Raw!$F$2:$F$1000,"&gt;=2019",Form127_Raw!$F$2:$F$1000,"&lt;=2024",Form127_Raw!$M$2:$M$1000,0)+COUNTIFS(Form127_Raw!$A$2:$A$1000,$A43,Form127_Raw!$F$2:$F$1000,"&gt;=2019",Form127_Raw!$F$2:$F$1000,"&lt;=2024",Form127_Raw!$K$2:$K$1000,0)+COUNTIFS(Form127_Raw!$A$2:$A$1000,$A43,Form127_Raw!$F$2:$F$1000,"&gt;=2019",Form127_Raw!$F$2:$F$1000,"&lt;=2024",Form127_Raw!$L$2:$L$1000,0)+COUNTIFS(Form127_Raw!$A$2:$A$1000,$A43,Form127_Raw!$F$2:$F$1000,"&gt;=2019",Form127_Raw!$F$2:$F$1000,"&lt;=2024",Form127_Raw!$P$2:$P$1000,0)</f>
        <v>0</v>
      </c>
      <c r="R43" s="29">
        <f t="shared" si="8"/>
        <v>0</v>
      </c>
      <c r="S43" s="29">
        <f>(COUNTIFS(Form127_Raw!$A$2:$A$1000,$A43,Form127_Raw!$F$2:$F$1000,"&gt;=2019",Form127_Raw!$F$2:$F$1000,"&lt;=2024",Form127_Raw!$I$2:$I$1000,"&lt;&gt;")+COUNTIFS(Form127_Raw!$A$2:$A$1000,$A43,Form127_Raw!$F$2:$F$1000,"&gt;=2019",Form127_Raw!$F$2:$F$1000,"&lt;=2024",Form127_Raw!$J$2:$J$1000,"&lt;&gt;")+COUNTIFS(Form127_Raw!$A$2:$A$1000,$A43,Form127_Raw!$F$2:$F$1000,"&gt;=2019",Form127_Raw!$F$2:$F$1000,"&lt;=2024",Form127_Raw!$O$2:$O$1000,"&lt;&gt;")+COUNTIFS(Form127_Raw!$A$2:$A$1000,$A43,Form127_Raw!$F$2:$F$1000,"&gt;=2019",Form127_Raw!$F$2:$F$1000,"&lt;=2024",Form127_Raw!$Q$2:$Q$1000,"&lt;&gt;")+COUNTIFS(Form127_Raw!$A$2:$A$1000,$A43,Form127_Raw!$F$2:$F$1000,"&gt;=2019",Form127_Raw!$F$2:$F$1000,"&lt;=2024",Form127_Raw!$R$2:$R$1000,"&lt;&gt;"))/30</f>
        <v>0</v>
      </c>
      <c r="T43" s="14" t="str">
        <f t="shared" si="9"/>
        <v>Not Loaded</v>
      </c>
    </row>
    <row r="44" spans="1:20">
      <c r="A44" s="14" t="str">
        <f>Airport_Master!A37</f>
        <v>HOU</v>
      </c>
      <c r="B44" s="14" t="str">
        <f>Airport_Master!B37</f>
        <v>William P Hobby</v>
      </c>
      <c r="C44" s="14" t="str">
        <f>Airport_Master!E37</f>
        <v>Medium</v>
      </c>
      <c r="D44" s="14">
        <f>COUNTIFS(Form127_Raw!$A$2:$A$1000,$A44,Form127_Raw!$F$2:$F$1000,"&gt;=2019",Form127_Raw!$F$2:$F$1000,"&lt;=2024")</f>
        <v>0</v>
      </c>
      <c r="E44" s="29">
        <f t="shared" si="5"/>
        <v>0</v>
      </c>
      <c r="F44" s="14">
        <f>COUNTIFS(Form127_Raw!$A$2:$A$1000,$A44,Form127_Raw!$F$2:$F$1000,"&gt;=2019",Form127_Raw!$F$2:$F$1000,"&lt;=2024",Form127_Raw!$G$2:$G$1000,"&lt;&gt;")</f>
        <v>0</v>
      </c>
      <c r="G44" s="14">
        <f>COUNTIFS(Form127_Raw!$A$2:$A$1000,$A44,Form127_Raw!$F$2:$F$1000,"&gt;=2019",Form127_Raw!$F$2:$F$1000,"&lt;=2024",Form127_Raw!$H$2:$H$1000,"&lt;&gt;")</f>
        <v>0</v>
      </c>
      <c r="H44" s="14">
        <f>COUNTIFS(Form127_Raw!$A$2:$A$1000,$A44,Form127_Raw!$F$2:$F$1000,"&gt;=2019",Form127_Raw!$F$2:$F$1000,"&lt;=2024",Form127_Raw!$S$2:$S$1000,"&lt;&gt;")</f>
        <v>0</v>
      </c>
      <c r="I44" s="14">
        <f>COUNTIFS(Form127_Raw!$A$2:$A$1000,$A44,Form127_Raw!$F$2:$F$1000,"&gt;=2019",Form127_Raw!$F$2:$F$1000,"&lt;=2024",Form127_Raw!$T$2:$T$1000,"&lt;&gt;")</f>
        <v>0</v>
      </c>
      <c r="J44" s="14">
        <f>COUNTIFS(Form127_Raw!$A$2:$A$1000,$A44,Form127_Raw!$F$2:$F$1000,"&gt;=2019",Form127_Raw!$F$2:$F$1000,"&lt;=2024",Form127_Raw!$N$2:$N$1000,"&lt;&gt;")</f>
        <v>0</v>
      </c>
      <c r="K44" s="14">
        <f>COUNTIFS(Form127_Raw!$A$2:$A$1000,$A44,Form127_Raw!$F$2:$F$1000,"&gt;=2019",Form127_Raw!$F$2:$F$1000,"&lt;=2024",Form127_Raw!$M$2:$M$1000,"&lt;&gt;")</f>
        <v>0</v>
      </c>
      <c r="L44" s="14">
        <f>COUNTIFS(Form127_Raw!$A$2:$A$1000,$A44,Form127_Raw!$F$2:$F$1000,"&gt;=2019",Form127_Raw!$F$2:$F$1000,"&lt;=2024",Form127_Raw!$K$2:$K$1000,"&lt;&gt;")</f>
        <v>0</v>
      </c>
      <c r="M44" s="14">
        <f>COUNTIFS(Form127_Raw!$A$2:$A$1000,$A44,Form127_Raw!$F$2:$F$1000,"&gt;=2019",Form127_Raw!$F$2:$F$1000,"&lt;=2024",Form127_Raw!$L$2:$L$1000,"&lt;&gt;")</f>
        <v>0</v>
      </c>
      <c r="N44" s="14">
        <f>COUNTIFS(Form127_Raw!$A$2:$A$1000,$A44,Form127_Raw!$F$2:$F$1000,"&gt;=2019",Form127_Raw!$F$2:$F$1000,"&lt;=2024",Form127_Raw!$P$2:$P$1000,"&lt;&gt;")</f>
        <v>0</v>
      </c>
      <c r="O44" s="29">
        <f t="shared" si="6"/>
        <v>0</v>
      </c>
      <c r="P44" s="29">
        <f t="shared" si="7"/>
        <v>0</v>
      </c>
      <c r="Q44" s="14">
        <f>COUNTIFS(Form127_Raw!$A$2:$A$1000,$A44,Form127_Raw!$F$2:$F$1000,"&gt;=2019",Form127_Raw!$F$2:$F$1000,"&lt;=2024",Form127_Raw!$N$2:$N$1000,0)+COUNTIFS(Form127_Raw!$A$2:$A$1000,$A44,Form127_Raw!$F$2:$F$1000,"&gt;=2019",Form127_Raw!$F$2:$F$1000,"&lt;=2024",Form127_Raw!$M$2:$M$1000,0)+COUNTIFS(Form127_Raw!$A$2:$A$1000,$A44,Form127_Raw!$F$2:$F$1000,"&gt;=2019",Form127_Raw!$F$2:$F$1000,"&lt;=2024",Form127_Raw!$K$2:$K$1000,0)+COUNTIFS(Form127_Raw!$A$2:$A$1000,$A44,Form127_Raw!$F$2:$F$1000,"&gt;=2019",Form127_Raw!$F$2:$F$1000,"&lt;=2024",Form127_Raw!$L$2:$L$1000,0)+COUNTIFS(Form127_Raw!$A$2:$A$1000,$A44,Form127_Raw!$F$2:$F$1000,"&gt;=2019",Form127_Raw!$F$2:$F$1000,"&lt;=2024",Form127_Raw!$P$2:$P$1000,0)</f>
        <v>0</v>
      </c>
      <c r="R44" s="29">
        <f t="shared" si="8"/>
        <v>0</v>
      </c>
      <c r="S44" s="29">
        <f>(COUNTIFS(Form127_Raw!$A$2:$A$1000,$A44,Form127_Raw!$F$2:$F$1000,"&gt;=2019",Form127_Raw!$F$2:$F$1000,"&lt;=2024",Form127_Raw!$I$2:$I$1000,"&lt;&gt;")+COUNTIFS(Form127_Raw!$A$2:$A$1000,$A44,Form127_Raw!$F$2:$F$1000,"&gt;=2019",Form127_Raw!$F$2:$F$1000,"&lt;=2024",Form127_Raw!$J$2:$J$1000,"&lt;&gt;")+COUNTIFS(Form127_Raw!$A$2:$A$1000,$A44,Form127_Raw!$F$2:$F$1000,"&gt;=2019",Form127_Raw!$F$2:$F$1000,"&lt;=2024",Form127_Raw!$O$2:$O$1000,"&lt;&gt;")+COUNTIFS(Form127_Raw!$A$2:$A$1000,$A44,Form127_Raw!$F$2:$F$1000,"&gt;=2019",Form127_Raw!$F$2:$F$1000,"&lt;=2024",Form127_Raw!$Q$2:$Q$1000,"&lt;&gt;")+COUNTIFS(Form127_Raw!$A$2:$A$1000,$A44,Form127_Raw!$F$2:$F$1000,"&gt;=2019",Form127_Raw!$F$2:$F$1000,"&lt;=2024",Form127_Raw!$R$2:$R$1000,"&lt;&gt;"))/30</f>
        <v>0</v>
      </c>
      <c r="T44" s="14" t="str">
        <f t="shared" si="9"/>
        <v>Not Loaded</v>
      </c>
    </row>
    <row r="45" spans="1:20">
      <c r="A45" s="14" t="str">
        <f>Airport_Master!A38</f>
        <v>SMF</v>
      </c>
      <c r="B45" s="14" t="str">
        <f>Airport_Master!B38</f>
        <v>Sacramento International</v>
      </c>
      <c r="C45" s="14" t="str">
        <f>Airport_Master!E38</f>
        <v>Medium</v>
      </c>
      <c r="D45" s="14">
        <f>COUNTIFS(Form127_Raw!$A$2:$A$1000,$A45,Form127_Raw!$F$2:$F$1000,"&gt;=2019",Form127_Raw!$F$2:$F$1000,"&lt;=2024")</f>
        <v>0</v>
      </c>
      <c r="E45" s="29">
        <f t="shared" si="5"/>
        <v>0</v>
      </c>
      <c r="F45" s="14">
        <f>COUNTIFS(Form127_Raw!$A$2:$A$1000,$A45,Form127_Raw!$F$2:$F$1000,"&gt;=2019",Form127_Raw!$F$2:$F$1000,"&lt;=2024",Form127_Raw!$G$2:$G$1000,"&lt;&gt;")</f>
        <v>0</v>
      </c>
      <c r="G45" s="14">
        <f>COUNTIFS(Form127_Raw!$A$2:$A$1000,$A45,Form127_Raw!$F$2:$F$1000,"&gt;=2019",Form127_Raw!$F$2:$F$1000,"&lt;=2024",Form127_Raw!$H$2:$H$1000,"&lt;&gt;")</f>
        <v>0</v>
      </c>
      <c r="H45" s="14">
        <f>COUNTIFS(Form127_Raw!$A$2:$A$1000,$A45,Form127_Raw!$F$2:$F$1000,"&gt;=2019",Form127_Raw!$F$2:$F$1000,"&lt;=2024",Form127_Raw!$S$2:$S$1000,"&lt;&gt;")</f>
        <v>0</v>
      </c>
      <c r="I45" s="14">
        <f>COUNTIFS(Form127_Raw!$A$2:$A$1000,$A45,Form127_Raw!$F$2:$F$1000,"&gt;=2019",Form127_Raw!$F$2:$F$1000,"&lt;=2024",Form127_Raw!$T$2:$T$1000,"&lt;&gt;")</f>
        <v>0</v>
      </c>
      <c r="J45" s="14">
        <f>COUNTIFS(Form127_Raw!$A$2:$A$1000,$A45,Form127_Raw!$F$2:$F$1000,"&gt;=2019",Form127_Raw!$F$2:$F$1000,"&lt;=2024",Form127_Raw!$N$2:$N$1000,"&lt;&gt;")</f>
        <v>0</v>
      </c>
      <c r="K45" s="14">
        <f>COUNTIFS(Form127_Raw!$A$2:$A$1000,$A45,Form127_Raw!$F$2:$F$1000,"&gt;=2019",Form127_Raw!$F$2:$F$1000,"&lt;=2024",Form127_Raw!$M$2:$M$1000,"&lt;&gt;")</f>
        <v>0</v>
      </c>
      <c r="L45" s="14">
        <f>COUNTIFS(Form127_Raw!$A$2:$A$1000,$A45,Form127_Raw!$F$2:$F$1000,"&gt;=2019",Form127_Raw!$F$2:$F$1000,"&lt;=2024",Form127_Raw!$K$2:$K$1000,"&lt;&gt;")</f>
        <v>0</v>
      </c>
      <c r="M45" s="14">
        <f>COUNTIFS(Form127_Raw!$A$2:$A$1000,$A45,Form127_Raw!$F$2:$F$1000,"&gt;=2019",Form127_Raw!$F$2:$F$1000,"&lt;=2024",Form127_Raw!$L$2:$L$1000,"&lt;&gt;")</f>
        <v>0</v>
      </c>
      <c r="N45" s="14">
        <f>COUNTIFS(Form127_Raw!$A$2:$A$1000,$A45,Form127_Raw!$F$2:$F$1000,"&gt;=2019",Form127_Raw!$F$2:$F$1000,"&lt;=2024",Form127_Raw!$P$2:$P$1000,"&lt;&gt;")</f>
        <v>0</v>
      </c>
      <c r="O45" s="29">
        <f t="shared" si="6"/>
        <v>0</v>
      </c>
      <c r="P45" s="29">
        <f t="shared" si="7"/>
        <v>0</v>
      </c>
      <c r="Q45" s="14">
        <f>COUNTIFS(Form127_Raw!$A$2:$A$1000,$A45,Form127_Raw!$F$2:$F$1000,"&gt;=2019",Form127_Raw!$F$2:$F$1000,"&lt;=2024",Form127_Raw!$N$2:$N$1000,0)+COUNTIFS(Form127_Raw!$A$2:$A$1000,$A45,Form127_Raw!$F$2:$F$1000,"&gt;=2019",Form127_Raw!$F$2:$F$1000,"&lt;=2024",Form127_Raw!$M$2:$M$1000,0)+COUNTIFS(Form127_Raw!$A$2:$A$1000,$A45,Form127_Raw!$F$2:$F$1000,"&gt;=2019",Form127_Raw!$F$2:$F$1000,"&lt;=2024",Form127_Raw!$K$2:$K$1000,0)+COUNTIFS(Form127_Raw!$A$2:$A$1000,$A45,Form127_Raw!$F$2:$F$1000,"&gt;=2019",Form127_Raw!$F$2:$F$1000,"&lt;=2024",Form127_Raw!$L$2:$L$1000,0)+COUNTIFS(Form127_Raw!$A$2:$A$1000,$A45,Form127_Raw!$F$2:$F$1000,"&gt;=2019",Form127_Raw!$F$2:$F$1000,"&lt;=2024",Form127_Raw!$P$2:$P$1000,0)</f>
        <v>0</v>
      </c>
      <c r="R45" s="29">
        <f t="shared" si="8"/>
        <v>0</v>
      </c>
      <c r="S45" s="29">
        <f>(COUNTIFS(Form127_Raw!$A$2:$A$1000,$A45,Form127_Raw!$F$2:$F$1000,"&gt;=2019",Form127_Raw!$F$2:$F$1000,"&lt;=2024",Form127_Raw!$I$2:$I$1000,"&lt;&gt;")+COUNTIFS(Form127_Raw!$A$2:$A$1000,$A45,Form127_Raw!$F$2:$F$1000,"&gt;=2019",Form127_Raw!$F$2:$F$1000,"&lt;=2024",Form127_Raw!$J$2:$J$1000,"&lt;&gt;")+COUNTIFS(Form127_Raw!$A$2:$A$1000,$A45,Form127_Raw!$F$2:$F$1000,"&gt;=2019",Form127_Raw!$F$2:$F$1000,"&lt;=2024",Form127_Raw!$O$2:$O$1000,"&lt;&gt;")+COUNTIFS(Form127_Raw!$A$2:$A$1000,$A45,Form127_Raw!$F$2:$F$1000,"&gt;=2019",Form127_Raw!$F$2:$F$1000,"&lt;=2024",Form127_Raw!$Q$2:$Q$1000,"&lt;&gt;")+COUNTIFS(Form127_Raw!$A$2:$A$1000,$A45,Form127_Raw!$F$2:$F$1000,"&gt;=2019",Form127_Raw!$F$2:$F$1000,"&lt;=2024",Form127_Raw!$R$2:$R$1000,"&lt;&gt;"))/30</f>
        <v>0</v>
      </c>
      <c r="T45" s="14" t="str">
        <f t="shared" si="9"/>
        <v>Not Loaded</v>
      </c>
    </row>
    <row r="46" spans="1:20">
      <c r="A46" s="14" t="str">
        <f>Airport_Master!A39</f>
        <v>MSY</v>
      </c>
      <c r="B46" s="14" t="str">
        <f>Airport_Master!B39</f>
        <v>Louis Armstrong New Orleans International</v>
      </c>
      <c r="C46" s="14" t="str">
        <f>Airport_Master!E39</f>
        <v>Medium</v>
      </c>
      <c r="D46" s="14">
        <f>COUNTIFS(Form127_Raw!$A$2:$A$1000,$A46,Form127_Raw!$F$2:$F$1000,"&gt;=2019",Form127_Raw!$F$2:$F$1000,"&lt;=2024")</f>
        <v>0</v>
      </c>
      <c r="E46" s="29">
        <f t="shared" si="5"/>
        <v>0</v>
      </c>
      <c r="F46" s="14">
        <f>COUNTIFS(Form127_Raw!$A$2:$A$1000,$A46,Form127_Raw!$F$2:$F$1000,"&gt;=2019",Form127_Raw!$F$2:$F$1000,"&lt;=2024",Form127_Raw!$G$2:$G$1000,"&lt;&gt;")</f>
        <v>0</v>
      </c>
      <c r="G46" s="14">
        <f>COUNTIFS(Form127_Raw!$A$2:$A$1000,$A46,Form127_Raw!$F$2:$F$1000,"&gt;=2019",Form127_Raw!$F$2:$F$1000,"&lt;=2024",Form127_Raw!$H$2:$H$1000,"&lt;&gt;")</f>
        <v>0</v>
      </c>
      <c r="H46" s="14">
        <f>COUNTIFS(Form127_Raw!$A$2:$A$1000,$A46,Form127_Raw!$F$2:$F$1000,"&gt;=2019",Form127_Raw!$F$2:$F$1000,"&lt;=2024",Form127_Raw!$S$2:$S$1000,"&lt;&gt;")</f>
        <v>0</v>
      </c>
      <c r="I46" s="14">
        <f>COUNTIFS(Form127_Raw!$A$2:$A$1000,$A46,Form127_Raw!$F$2:$F$1000,"&gt;=2019",Form127_Raw!$F$2:$F$1000,"&lt;=2024",Form127_Raw!$T$2:$T$1000,"&lt;&gt;")</f>
        <v>0</v>
      </c>
      <c r="J46" s="14">
        <f>COUNTIFS(Form127_Raw!$A$2:$A$1000,$A46,Form127_Raw!$F$2:$F$1000,"&gt;=2019",Form127_Raw!$F$2:$F$1000,"&lt;=2024",Form127_Raw!$N$2:$N$1000,"&lt;&gt;")</f>
        <v>0</v>
      </c>
      <c r="K46" s="14">
        <f>COUNTIFS(Form127_Raw!$A$2:$A$1000,$A46,Form127_Raw!$F$2:$F$1000,"&gt;=2019",Form127_Raw!$F$2:$F$1000,"&lt;=2024",Form127_Raw!$M$2:$M$1000,"&lt;&gt;")</f>
        <v>0</v>
      </c>
      <c r="L46" s="14">
        <f>COUNTIFS(Form127_Raw!$A$2:$A$1000,$A46,Form127_Raw!$F$2:$F$1000,"&gt;=2019",Form127_Raw!$F$2:$F$1000,"&lt;=2024",Form127_Raw!$K$2:$K$1000,"&lt;&gt;")</f>
        <v>0</v>
      </c>
      <c r="M46" s="14">
        <f>COUNTIFS(Form127_Raw!$A$2:$A$1000,$A46,Form127_Raw!$F$2:$F$1000,"&gt;=2019",Form127_Raw!$F$2:$F$1000,"&lt;=2024",Form127_Raw!$L$2:$L$1000,"&lt;&gt;")</f>
        <v>0</v>
      </c>
      <c r="N46" s="14">
        <f>COUNTIFS(Form127_Raw!$A$2:$A$1000,$A46,Form127_Raw!$F$2:$F$1000,"&gt;=2019",Form127_Raw!$F$2:$F$1000,"&lt;=2024",Form127_Raw!$P$2:$P$1000,"&lt;&gt;")</f>
        <v>0</v>
      </c>
      <c r="O46" s="29">
        <f t="shared" si="6"/>
        <v>0</v>
      </c>
      <c r="P46" s="29">
        <f t="shared" si="7"/>
        <v>0</v>
      </c>
      <c r="Q46" s="14">
        <f>COUNTIFS(Form127_Raw!$A$2:$A$1000,$A46,Form127_Raw!$F$2:$F$1000,"&gt;=2019",Form127_Raw!$F$2:$F$1000,"&lt;=2024",Form127_Raw!$N$2:$N$1000,0)+COUNTIFS(Form127_Raw!$A$2:$A$1000,$A46,Form127_Raw!$F$2:$F$1000,"&gt;=2019",Form127_Raw!$F$2:$F$1000,"&lt;=2024",Form127_Raw!$M$2:$M$1000,0)+COUNTIFS(Form127_Raw!$A$2:$A$1000,$A46,Form127_Raw!$F$2:$F$1000,"&gt;=2019",Form127_Raw!$F$2:$F$1000,"&lt;=2024",Form127_Raw!$K$2:$K$1000,0)+COUNTIFS(Form127_Raw!$A$2:$A$1000,$A46,Form127_Raw!$F$2:$F$1000,"&gt;=2019",Form127_Raw!$F$2:$F$1000,"&lt;=2024",Form127_Raw!$L$2:$L$1000,0)+COUNTIFS(Form127_Raw!$A$2:$A$1000,$A46,Form127_Raw!$F$2:$F$1000,"&gt;=2019",Form127_Raw!$F$2:$F$1000,"&lt;=2024",Form127_Raw!$P$2:$P$1000,0)</f>
        <v>0</v>
      </c>
      <c r="R46" s="29">
        <f t="shared" si="8"/>
        <v>0</v>
      </c>
      <c r="S46" s="29">
        <f>(COUNTIFS(Form127_Raw!$A$2:$A$1000,$A46,Form127_Raw!$F$2:$F$1000,"&gt;=2019",Form127_Raw!$F$2:$F$1000,"&lt;=2024",Form127_Raw!$I$2:$I$1000,"&lt;&gt;")+COUNTIFS(Form127_Raw!$A$2:$A$1000,$A46,Form127_Raw!$F$2:$F$1000,"&gt;=2019",Form127_Raw!$F$2:$F$1000,"&lt;=2024",Form127_Raw!$J$2:$J$1000,"&lt;&gt;")+COUNTIFS(Form127_Raw!$A$2:$A$1000,$A46,Form127_Raw!$F$2:$F$1000,"&gt;=2019",Form127_Raw!$F$2:$F$1000,"&lt;=2024",Form127_Raw!$O$2:$O$1000,"&lt;&gt;")+COUNTIFS(Form127_Raw!$A$2:$A$1000,$A46,Form127_Raw!$F$2:$F$1000,"&gt;=2019",Form127_Raw!$F$2:$F$1000,"&lt;=2024",Form127_Raw!$Q$2:$Q$1000,"&lt;&gt;")+COUNTIFS(Form127_Raw!$A$2:$A$1000,$A46,Form127_Raw!$F$2:$F$1000,"&gt;=2019",Form127_Raw!$F$2:$F$1000,"&lt;=2024",Form127_Raw!$R$2:$R$1000,"&lt;&gt;"))/30</f>
        <v>0</v>
      </c>
      <c r="T46" s="14" t="str">
        <f t="shared" si="9"/>
        <v>Not Loaded</v>
      </c>
    </row>
    <row r="47" spans="1:20">
      <c r="A47" s="14" t="str">
        <f>Airport_Master!A40</f>
        <v>SJU</v>
      </c>
      <c r="B47" s="14" t="str">
        <f>Airport_Master!B40</f>
        <v>Luis Munoz Marin International</v>
      </c>
      <c r="C47" s="14" t="str">
        <f>Airport_Master!E40</f>
        <v>Medium</v>
      </c>
      <c r="D47" s="14">
        <f>COUNTIFS(Form127_Raw!$A$2:$A$1000,$A47,Form127_Raw!$F$2:$F$1000,"&gt;=2019",Form127_Raw!$F$2:$F$1000,"&lt;=2024")</f>
        <v>0</v>
      </c>
      <c r="E47" s="29">
        <f t="shared" si="5"/>
        <v>0</v>
      </c>
      <c r="F47" s="14">
        <f>COUNTIFS(Form127_Raw!$A$2:$A$1000,$A47,Form127_Raw!$F$2:$F$1000,"&gt;=2019",Form127_Raw!$F$2:$F$1000,"&lt;=2024",Form127_Raw!$G$2:$G$1000,"&lt;&gt;")</f>
        <v>0</v>
      </c>
      <c r="G47" s="14">
        <f>COUNTIFS(Form127_Raw!$A$2:$A$1000,$A47,Form127_Raw!$F$2:$F$1000,"&gt;=2019",Form127_Raw!$F$2:$F$1000,"&lt;=2024",Form127_Raw!$H$2:$H$1000,"&lt;&gt;")</f>
        <v>0</v>
      </c>
      <c r="H47" s="14">
        <f>COUNTIFS(Form127_Raw!$A$2:$A$1000,$A47,Form127_Raw!$F$2:$F$1000,"&gt;=2019",Form127_Raw!$F$2:$F$1000,"&lt;=2024",Form127_Raw!$S$2:$S$1000,"&lt;&gt;")</f>
        <v>0</v>
      </c>
      <c r="I47" s="14">
        <f>COUNTIFS(Form127_Raw!$A$2:$A$1000,$A47,Form127_Raw!$F$2:$F$1000,"&gt;=2019",Form127_Raw!$F$2:$F$1000,"&lt;=2024",Form127_Raw!$T$2:$T$1000,"&lt;&gt;")</f>
        <v>0</v>
      </c>
      <c r="J47" s="14">
        <f>COUNTIFS(Form127_Raw!$A$2:$A$1000,$A47,Form127_Raw!$F$2:$F$1000,"&gt;=2019",Form127_Raw!$F$2:$F$1000,"&lt;=2024",Form127_Raw!$N$2:$N$1000,"&lt;&gt;")</f>
        <v>0</v>
      </c>
      <c r="K47" s="14">
        <f>COUNTIFS(Form127_Raw!$A$2:$A$1000,$A47,Form127_Raw!$F$2:$F$1000,"&gt;=2019",Form127_Raw!$F$2:$F$1000,"&lt;=2024",Form127_Raw!$M$2:$M$1000,"&lt;&gt;")</f>
        <v>0</v>
      </c>
      <c r="L47" s="14">
        <f>COUNTIFS(Form127_Raw!$A$2:$A$1000,$A47,Form127_Raw!$F$2:$F$1000,"&gt;=2019",Form127_Raw!$F$2:$F$1000,"&lt;=2024",Form127_Raw!$K$2:$K$1000,"&lt;&gt;")</f>
        <v>0</v>
      </c>
      <c r="M47" s="14">
        <f>COUNTIFS(Form127_Raw!$A$2:$A$1000,$A47,Form127_Raw!$F$2:$F$1000,"&gt;=2019",Form127_Raw!$F$2:$F$1000,"&lt;=2024",Form127_Raw!$L$2:$L$1000,"&lt;&gt;")</f>
        <v>0</v>
      </c>
      <c r="N47" s="14">
        <f>COUNTIFS(Form127_Raw!$A$2:$A$1000,$A47,Form127_Raw!$F$2:$F$1000,"&gt;=2019",Form127_Raw!$F$2:$F$1000,"&lt;=2024",Form127_Raw!$P$2:$P$1000,"&lt;&gt;")</f>
        <v>0</v>
      </c>
      <c r="O47" s="29">
        <f t="shared" si="6"/>
        <v>0</v>
      </c>
      <c r="P47" s="29">
        <f t="shared" si="7"/>
        <v>0</v>
      </c>
      <c r="Q47" s="14">
        <f>COUNTIFS(Form127_Raw!$A$2:$A$1000,$A47,Form127_Raw!$F$2:$F$1000,"&gt;=2019",Form127_Raw!$F$2:$F$1000,"&lt;=2024",Form127_Raw!$N$2:$N$1000,0)+COUNTIFS(Form127_Raw!$A$2:$A$1000,$A47,Form127_Raw!$F$2:$F$1000,"&gt;=2019",Form127_Raw!$F$2:$F$1000,"&lt;=2024",Form127_Raw!$M$2:$M$1000,0)+COUNTIFS(Form127_Raw!$A$2:$A$1000,$A47,Form127_Raw!$F$2:$F$1000,"&gt;=2019",Form127_Raw!$F$2:$F$1000,"&lt;=2024",Form127_Raw!$K$2:$K$1000,0)+COUNTIFS(Form127_Raw!$A$2:$A$1000,$A47,Form127_Raw!$F$2:$F$1000,"&gt;=2019",Form127_Raw!$F$2:$F$1000,"&lt;=2024",Form127_Raw!$L$2:$L$1000,0)+COUNTIFS(Form127_Raw!$A$2:$A$1000,$A47,Form127_Raw!$F$2:$F$1000,"&gt;=2019",Form127_Raw!$F$2:$F$1000,"&lt;=2024",Form127_Raw!$P$2:$P$1000,0)</f>
        <v>0</v>
      </c>
      <c r="R47" s="29">
        <f t="shared" si="8"/>
        <v>0</v>
      </c>
      <c r="S47" s="29">
        <f>(COUNTIFS(Form127_Raw!$A$2:$A$1000,$A47,Form127_Raw!$F$2:$F$1000,"&gt;=2019",Form127_Raw!$F$2:$F$1000,"&lt;=2024",Form127_Raw!$I$2:$I$1000,"&lt;&gt;")+COUNTIFS(Form127_Raw!$A$2:$A$1000,$A47,Form127_Raw!$F$2:$F$1000,"&gt;=2019",Form127_Raw!$F$2:$F$1000,"&lt;=2024",Form127_Raw!$J$2:$J$1000,"&lt;&gt;")+COUNTIFS(Form127_Raw!$A$2:$A$1000,$A47,Form127_Raw!$F$2:$F$1000,"&gt;=2019",Form127_Raw!$F$2:$F$1000,"&lt;=2024",Form127_Raw!$O$2:$O$1000,"&lt;&gt;")+COUNTIFS(Form127_Raw!$A$2:$A$1000,$A47,Form127_Raw!$F$2:$F$1000,"&gt;=2019",Form127_Raw!$F$2:$F$1000,"&lt;=2024",Form127_Raw!$Q$2:$Q$1000,"&lt;&gt;")+COUNTIFS(Form127_Raw!$A$2:$A$1000,$A47,Form127_Raw!$F$2:$F$1000,"&gt;=2019",Form127_Raw!$F$2:$F$1000,"&lt;=2024",Form127_Raw!$R$2:$R$1000,"&lt;&gt;"))/30</f>
        <v>0</v>
      </c>
      <c r="T47" s="14" t="str">
        <f t="shared" si="9"/>
        <v>Not Loaded</v>
      </c>
    </row>
    <row r="48" spans="1:20">
      <c r="A48" s="14" t="str">
        <f>Airport_Master!A41</f>
        <v>MCI</v>
      </c>
      <c r="B48" s="14" t="str">
        <f>Airport_Master!B41</f>
        <v>Kansas City International</v>
      </c>
      <c r="C48" s="14" t="str">
        <f>Airport_Master!E41</f>
        <v>Medium</v>
      </c>
      <c r="D48" s="14">
        <f>COUNTIFS(Form127_Raw!$A$2:$A$1000,$A48,Form127_Raw!$F$2:$F$1000,"&gt;=2019",Form127_Raw!$F$2:$F$1000,"&lt;=2024")</f>
        <v>0</v>
      </c>
      <c r="E48" s="29">
        <f t="shared" si="5"/>
        <v>0</v>
      </c>
      <c r="F48" s="14">
        <f>COUNTIFS(Form127_Raw!$A$2:$A$1000,$A48,Form127_Raw!$F$2:$F$1000,"&gt;=2019",Form127_Raw!$F$2:$F$1000,"&lt;=2024",Form127_Raw!$G$2:$G$1000,"&lt;&gt;")</f>
        <v>0</v>
      </c>
      <c r="G48" s="14">
        <f>COUNTIFS(Form127_Raw!$A$2:$A$1000,$A48,Form127_Raw!$F$2:$F$1000,"&gt;=2019",Form127_Raw!$F$2:$F$1000,"&lt;=2024",Form127_Raw!$H$2:$H$1000,"&lt;&gt;")</f>
        <v>0</v>
      </c>
      <c r="H48" s="14">
        <f>COUNTIFS(Form127_Raw!$A$2:$A$1000,$A48,Form127_Raw!$F$2:$F$1000,"&gt;=2019",Form127_Raw!$F$2:$F$1000,"&lt;=2024",Form127_Raw!$S$2:$S$1000,"&lt;&gt;")</f>
        <v>0</v>
      </c>
      <c r="I48" s="14">
        <f>COUNTIFS(Form127_Raw!$A$2:$A$1000,$A48,Form127_Raw!$F$2:$F$1000,"&gt;=2019",Form127_Raw!$F$2:$F$1000,"&lt;=2024",Form127_Raw!$T$2:$T$1000,"&lt;&gt;")</f>
        <v>0</v>
      </c>
      <c r="J48" s="14">
        <f>COUNTIFS(Form127_Raw!$A$2:$A$1000,$A48,Form127_Raw!$F$2:$F$1000,"&gt;=2019",Form127_Raw!$F$2:$F$1000,"&lt;=2024",Form127_Raw!$N$2:$N$1000,"&lt;&gt;")</f>
        <v>0</v>
      </c>
      <c r="K48" s="14">
        <f>COUNTIFS(Form127_Raw!$A$2:$A$1000,$A48,Form127_Raw!$F$2:$F$1000,"&gt;=2019",Form127_Raw!$F$2:$F$1000,"&lt;=2024",Form127_Raw!$M$2:$M$1000,"&lt;&gt;")</f>
        <v>0</v>
      </c>
      <c r="L48" s="14">
        <f>COUNTIFS(Form127_Raw!$A$2:$A$1000,$A48,Form127_Raw!$F$2:$F$1000,"&gt;=2019",Form127_Raw!$F$2:$F$1000,"&lt;=2024",Form127_Raw!$K$2:$K$1000,"&lt;&gt;")</f>
        <v>0</v>
      </c>
      <c r="M48" s="14">
        <f>COUNTIFS(Form127_Raw!$A$2:$A$1000,$A48,Form127_Raw!$F$2:$F$1000,"&gt;=2019",Form127_Raw!$F$2:$F$1000,"&lt;=2024",Form127_Raw!$L$2:$L$1000,"&lt;&gt;")</f>
        <v>0</v>
      </c>
      <c r="N48" s="14">
        <f>COUNTIFS(Form127_Raw!$A$2:$A$1000,$A48,Form127_Raw!$F$2:$F$1000,"&gt;=2019",Form127_Raw!$F$2:$F$1000,"&lt;=2024",Form127_Raw!$P$2:$P$1000,"&lt;&gt;")</f>
        <v>0</v>
      </c>
      <c r="O48" s="29">
        <f t="shared" si="6"/>
        <v>0</v>
      </c>
      <c r="P48" s="29">
        <f t="shared" si="7"/>
        <v>0</v>
      </c>
      <c r="Q48" s="14">
        <f>COUNTIFS(Form127_Raw!$A$2:$A$1000,$A48,Form127_Raw!$F$2:$F$1000,"&gt;=2019",Form127_Raw!$F$2:$F$1000,"&lt;=2024",Form127_Raw!$N$2:$N$1000,0)+COUNTIFS(Form127_Raw!$A$2:$A$1000,$A48,Form127_Raw!$F$2:$F$1000,"&gt;=2019",Form127_Raw!$F$2:$F$1000,"&lt;=2024",Form127_Raw!$M$2:$M$1000,0)+COUNTIFS(Form127_Raw!$A$2:$A$1000,$A48,Form127_Raw!$F$2:$F$1000,"&gt;=2019",Form127_Raw!$F$2:$F$1000,"&lt;=2024",Form127_Raw!$K$2:$K$1000,0)+COUNTIFS(Form127_Raw!$A$2:$A$1000,$A48,Form127_Raw!$F$2:$F$1000,"&gt;=2019",Form127_Raw!$F$2:$F$1000,"&lt;=2024",Form127_Raw!$L$2:$L$1000,0)+COUNTIFS(Form127_Raw!$A$2:$A$1000,$A48,Form127_Raw!$F$2:$F$1000,"&gt;=2019",Form127_Raw!$F$2:$F$1000,"&lt;=2024",Form127_Raw!$P$2:$P$1000,0)</f>
        <v>0</v>
      </c>
      <c r="R48" s="29">
        <f t="shared" si="8"/>
        <v>0</v>
      </c>
      <c r="S48" s="29">
        <f>(COUNTIFS(Form127_Raw!$A$2:$A$1000,$A48,Form127_Raw!$F$2:$F$1000,"&gt;=2019",Form127_Raw!$F$2:$F$1000,"&lt;=2024",Form127_Raw!$I$2:$I$1000,"&lt;&gt;")+COUNTIFS(Form127_Raw!$A$2:$A$1000,$A48,Form127_Raw!$F$2:$F$1000,"&gt;=2019",Form127_Raw!$F$2:$F$1000,"&lt;=2024",Form127_Raw!$J$2:$J$1000,"&lt;&gt;")+COUNTIFS(Form127_Raw!$A$2:$A$1000,$A48,Form127_Raw!$F$2:$F$1000,"&gt;=2019",Form127_Raw!$F$2:$F$1000,"&lt;=2024",Form127_Raw!$O$2:$O$1000,"&lt;&gt;")+COUNTIFS(Form127_Raw!$A$2:$A$1000,$A48,Form127_Raw!$F$2:$F$1000,"&gt;=2019",Form127_Raw!$F$2:$F$1000,"&lt;=2024",Form127_Raw!$Q$2:$Q$1000,"&lt;&gt;")+COUNTIFS(Form127_Raw!$A$2:$A$1000,$A48,Form127_Raw!$F$2:$F$1000,"&gt;=2019",Form127_Raw!$F$2:$F$1000,"&lt;=2024",Form127_Raw!$R$2:$R$1000,"&lt;&gt;"))/30</f>
        <v>0</v>
      </c>
      <c r="T48" s="14" t="str">
        <f t="shared" si="9"/>
        <v>Not Loaded</v>
      </c>
    </row>
    <row r="49" spans="1:20">
      <c r="A49" s="14" t="str">
        <f>Airport_Master!A42</f>
        <v>SJC</v>
      </c>
      <c r="B49" s="14" t="str">
        <f>Airport_Master!B42</f>
        <v>Norman Y Mineta San Jose International</v>
      </c>
      <c r="C49" s="14" t="str">
        <f>Airport_Master!E42</f>
        <v>Medium</v>
      </c>
      <c r="D49" s="14">
        <f>COUNTIFS(Form127_Raw!$A$2:$A$1000,$A49,Form127_Raw!$F$2:$F$1000,"&gt;=2019",Form127_Raw!$F$2:$F$1000,"&lt;=2024")</f>
        <v>0</v>
      </c>
      <c r="E49" s="29">
        <f t="shared" si="5"/>
        <v>0</v>
      </c>
      <c r="F49" s="14">
        <f>COUNTIFS(Form127_Raw!$A$2:$A$1000,$A49,Form127_Raw!$F$2:$F$1000,"&gt;=2019",Form127_Raw!$F$2:$F$1000,"&lt;=2024",Form127_Raw!$G$2:$G$1000,"&lt;&gt;")</f>
        <v>0</v>
      </c>
      <c r="G49" s="14">
        <f>COUNTIFS(Form127_Raw!$A$2:$A$1000,$A49,Form127_Raw!$F$2:$F$1000,"&gt;=2019",Form127_Raw!$F$2:$F$1000,"&lt;=2024",Form127_Raw!$H$2:$H$1000,"&lt;&gt;")</f>
        <v>0</v>
      </c>
      <c r="H49" s="14">
        <f>COUNTIFS(Form127_Raw!$A$2:$A$1000,$A49,Form127_Raw!$F$2:$F$1000,"&gt;=2019",Form127_Raw!$F$2:$F$1000,"&lt;=2024",Form127_Raw!$S$2:$S$1000,"&lt;&gt;")</f>
        <v>0</v>
      </c>
      <c r="I49" s="14">
        <f>COUNTIFS(Form127_Raw!$A$2:$A$1000,$A49,Form127_Raw!$F$2:$F$1000,"&gt;=2019",Form127_Raw!$F$2:$F$1000,"&lt;=2024",Form127_Raw!$T$2:$T$1000,"&lt;&gt;")</f>
        <v>0</v>
      </c>
      <c r="J49" s="14">
        <f>COUNTIFS(Form127_Raw!$A$2:$A$1000,$A49,Form127_Raw!$F$2:$F$1000,"&gt;=2019",Form127_Raw!$F$2:$F$1000,"&lt;=2024",Form127_Raw!$N$2:$N$1000,"&lt;&gt;")</f>
        <v>0</v>
      </c>
      <c r="K49" s="14">
        <f>COUNTIFS(Form127_Raw!$A$2:$A$1000,$A49,Form127_Raw!$F$2:$F$1000,"&gt;=2019",Form127_Raw!$F$2:$F$1000,"&lt;=2024",Form127_Raw!$M$2:$M$1000,"&lt;&gt;")</f>
        <v>0</v>
      </c>
      <c r="L49" s="14">
        <f>COUNTIFS(Form127_Raw!$A$2:$A$1000,$A49,Form127_Raw!$F$2:$F$1000,"&gt;=2019",Form127_Raw!$F$2:$F$1000,"&lt;=2024",Form127_Raw!$K$2:$K$1000,"&lt;&gt;")</f>
        <v>0</v>
      </c>
      <c r="M49" s="14">
        <f>COUNTIFS(Form127_Raw!$A$2:$A$1000,$A49,Form127_Raw!$F$2:$F$1000,"&gt;=2019",Form127_Raw!$F$2:$F$1000,"&lt;=2024",Form127_Raw!$L$2:$L$1000,"&lt;&gt;")</f>
        <v>0</v>
      </c>
      <c r="N49" s="14">
        <f>COUNTIFS(Form127_Raw!$A$2:$A$1000,$A49,Form127_Raw!$F$2:$F$1000,"&gt;=2019",Form127_Raw!$F$2:$F$1000,"&lt;=2024",Form127_Raw!$P$2:$P$1000,"&lt;&gt;")</f>
        <v>0</v>
      </c>
      <c r="O49" s="29">
        <f t="shared" si="6"/>
        <v>0</v>
      </c>
      <c r="P49" s="29">
        <f t="shared" si="7"/>
        <v>0</v>
      </c>
      <c r="Q49" s="14">
        <f>COUNTIFS(Form127_Raw!$A$2:$A$1000,$A49,Form127_Raw!$F$2:$F$1000,"&gt;=2019",Form127_Raw!$F$2:$F$1000,"&lt;=2024",Form127_Raw!$N$2:$N$1000,0)+COUNTIFS(Form127_Raw!$A$2:$A$1000,$A49,Form127_Raw!$F$2:$F$1000,"&gt;=2019",Form127_Raw!$F$2:$F$1000,"&lt;=2024",Form127_Raw!$M$2:$M$1000,0)+COUNTIFS(Form127_Raw!$A$2:$A$1000,$A49,Form127_Raw!$F$2:$F$1000,"&gt;=2019",Form127_Raw!$F$2:$F$1000,"&lt;=2024",Form127_Raw!$K$2:$K$1000,0)+COUNTIFS(Form127_Raw!$A$2:$A$1000,$A49,Form127_Raw!$F$2:$F$1000,"&gt;=2019",Form127_Raw!$F$2:$F$1000,"&lt;=2024",Form127_Raw!$L$2:$L$1000,0)+COUNTIFS(Form127_Raw!$A$2:$A$1000,$A49,Form127_Raw!$F$2:$F$1000,"&gt;=2019",Form127_Raw!$F$2:$F$1000,"&lt;=2024",Form127_Raw!$P$2:$P$1000,0)</f>
        <v>0</v>
      </c>
      <c r="R49" s="29">
        <f t="shared" si="8"/>
        <v>0</v>
      </c>
      <c r="S49" s="29">
        <f>(COUNTIFS(Form127_Raw!$A$2:$A$1000,$A49,Form127_Raw!$F$2:$F$1000,"&gt;=2019",Form127_Raw!$F$2:$F$1000,"&lt;=2024",Form127_Raw!$I$2:$I$1000,"&lt;&gt;")+COUNTIFS(Form127_Raw!$A$2:$A$1000,$A49,Form127_Raw!$F$2:$F$1000,"&gt;=2019",Form127_Raw!$F$2:$F$1000,"&lt;=2024",Form127_Raw!$J$2:$J$1000,"&lt;&gt;")+COUNTIFS(Form127_Raw!$A$2:$A$1000,$A49,Form127_Raw!$F$2:$F$1000,"&gt;=2019",Form127_Raw!$F$2:$F$1000,"&lt;=2024",Form127_Raw!$O$2:$O$1000,"&lt;&gt;")+COUNTIFS(Form127_Raw!$A$2:$A$1000,$A49,Form127_Raw!$F$2:$F$1000,"&gt;=2019",Form127_Raw!$F$2:$F$1000,"&lt;=2024",Form127_Raw!$Q$2:$Q$1000,"&lt;&gt;")+COUNTIFS(Form127_Raw!$A$2:$A$1000,$A49,Form127_Raw!$F$2:$F$1000,"&gt;=2019",Form127_Raw!$F$2:$F$1000,"&lt;=2024",Form127_Raw!$R$2:$R$1000,"&lt;&gt;"))/30</f>
        <v>0</v>
      </c>
      <c r="T49" s="14" t="str">
        <f t="shared" si="9"/>
        <v>Not Loaded</v>
      </c>
    </row>
    <row r="50" spans="1:20">
      <c r="A50" s="14" t="str">
        <f>Airport_Master!A43</f>
        <v>SAT</v>
      </c>
      <c r="B50" s="14" t="str">
        <f>Airport_Master!B43</f>
        <v>San Antonio International</v>
      </c>
      <c r="C50" s="14" t="str">
        <f>Airport_Master!E43</f>
        <v>Medium</v>
      </c>
      <c r="D50" s="14">
        <f>COUNTIFS(Form127_Raw!$A$2:$A$1000,$A50,Form127_Raw!$F$2:$F$1000,"&gt;=2019",Form127_Raw!$F$2:$F$1000,"&lt;=2024")</f>
        <v>0</v>
      </c>
      <c r="E50" s="29">
        <f t="shared" si="5"/>
        <v>0</v>
      </c>
      <c r="F50" s="14">
        <f>COUNTIFS(Form127_Raw!$A$2:$A$1000,$A50,Form127_Raw!$F$2:$F$1000,"&gt;=2019",Form127_Raw!$F$2:$F$1000,"&lt;=2024",Form127_Raw!$G$2:$G$1000,"&lt;&gt;")</f>
        <v>0</v>
      </c>
      <c r="G50" s="14">
        <f>COUNTIFS(Form127_Raw!$A$2:$A$1000,$A50,Form127_Raw!$F$2:$F$1000,"&gt;=2019",Form127_Raw!$F$2:$F$1000,"&lt;=2024",Form127_Raw!$H$2:$H$1000,"&lt;&gt;")</f>
        <v>0</v>
      </c>
      <c r="H50" s="14">
        <f>COUNTIFS(Form127_Raw!$A$2:$A$1000,$A50,Form127_Raw!$F$2:$F$1000,"&gt;=2019",Form127_Raw!$F$2:$F$1000,"&lt;=2024",Form127_Raw!$S$2:$S$1000,"&lt;&gt;")</f>
        <v>0</v>
      </c>
      <c r="I50" s="14">
        <f>COUNTIFS(Form127_Raw!$A$2:$A$1000,$A50,Form127_Raw!$F$2:$F$1000,"&gt;=2019",Form127_Raw!$F$2:$F$1000,"&lt;=2024",Form127_Raw!$T$2:$T$1000,"&lt;&gt;")</f>
        <v>0</v>
      </c>
      <c r="J50" s="14">
        <f>COUNTIFS(Form127_Raw!$A$2:$A$1000,$A50,Form127_Raw!$F$2:$F$1000,"&gt;=2019",Form127_Raw!$F$2:$F$1000,"&lt;=2024",Form127_Raw!$N$2:$N$1000,"&lt;&gt;")</f>
        <v>0</v>
      </c>
      <c r="K50" s="14">
        <f>COUNTIFS(Form127_Raw!$A$2:$A$1000,$A50,Form127_Raw!$F$2:$F$1000,"&gt;=2019",Form127_Raw!$F$2:$F$1000,"&lt;=2024",Form127_Raw!$M$2:$M$1000,"&lt;&gt;")</f>
        <v>0</v>
      </c>
      <c r="L50" s="14">
        <f>COUNTIFS(Form127_Raw!$A$2:$A$1000,$A50,Form127_Raw!$F$2:$F$1000,"&gt;=2019",Form127_Raw!$F$2:$F$1000,"&lt;=2024",Form127_Raw!$K$2:$K$1000,"&lt;&gt;")</f>
        <v>0</v>
      </c>
      <c r="M50" s="14">
        <f>COUNTIFS(Form127_Raw!$A$2:$A$1000,$A50,Form127_Raw!$F$2:$F$1000,"&gt;=2019",Form127_Raw!$F$2:$F$1000,"&lt;=2024",Form127_Raw!$L$2:$L$1000,"&lt;&gt;")</f>
        <v>0</v>
      </c>
      <c r="N50" s="14">
        <f>COUNTIFS(Form127_Raw!$A$2:$A$1000,$A50,Form127_Raw!$F$2:$F$1000,"&gt;=2019",Form127_Raw!$F$2:$F$1000,"&lt;=2024",Form127_Raw!$P$2:$P$1000,"&lt;&gt;")</f>
        <v>0</v>
      </c>
      <c r="O50" s="29">
        <f t="shared" si="6"/>
        <v>0</v>
      </c>
      <c r="P50" s="29">
        <f t="shared" si="7"/>
        <v>0</v>
      </c>
      <c r="Q50" s="14">
        <f>COUNTIFS(Form127_Raw!$A$2:$A$1000,$A50,Form127_Raw!$F$2:$F$1000,"&gt;=2019",Form127_Raw!$F$2:$F$1000,"&lt;=2024",Form127_Raw!$N$2:$N$1000,0)+COUNTIFS(Form127_Raw!$A$2:$A$1000,$A50,Form127_Raw!$F$2:$F$1000,"&gt;=2019",Form127_Raw!$F$2:$F$1000,"&lt;=2024",Form127_Raw!$M$2:$M$1000,0)+COUNTIFS(Form127_Raw!$A$2:$A$1000,$A50,Form127_Raw!$F$2:$F$1000,"&gt;=2019",Form127_Raw!$F$2:$F$1000,"&lt;=2024",Form127_Raw!$K$2:$K$1000,0)+COUNTIFS(Form127_Raw!$A$2:$A$1000,$A50,Form127_Raw!$F$2:$F$1000,"&gt;=2019",Form127_Raw!$F$2:$F$1000,"&lt;=2024",Form127_Raw!$L$2:$L$1000,0)+COUNTIFS(Form127_Raw!$A$2:$A$1000,$A50,Form127_Raw!$F$2:$F$1000,"&gt;=2019",Form127_Raw!$F$2:$F$1000,"&lt;=2024",Form127_Raw!$P$2:$P$1000,0)</f>
        <v>0</v>
      </c>
      <c r="R50" s="29">
        <f t="shared" si="8"/>
        <v>0</v>
      </c>
      <c r="S50" s="29">
        <f>(COUNTIFS(Form127_Raw!$A$2:$A$1000,$A50,Form127_Raw!$F$2:$F$1000,"&gt;=2019",Form127_Raw!$F$2:$F$1000,"&lt;=2024",Form127_Raw!$I$2:$I$1000,"&lt;&gt;")+COUNTIFS(Form127_Raw!$A$2:$A$1000,$A50,Form127_Raw!$F$2:$F$1000,"&gt;=2019",Form127_Raw!$F$2:$F$1000,"&lt;=2024",Form127_Raw!$J$2:$J$1000,"&lt;&gt;")+COUNTIFS(Form127_Raw!$A$2:$A$1000,$A50,Form127_Raw!$F$2:$F$1000,"&gt;=2019",Form127_Raw!$F$2:$F$1000,"&lt;=2024",Form127_Raw!$O$2:$O$1000,"&lt;&gt;")+COUNTIFS(Form127_Raw!$A$2:$A$1000,$A50,Form127_Raw!$F$2:$F$1000,"&gt;=2019",Form127_Raw!$F$2:$F$1000,"&lt;=2024",Form127_Raw!$Q$2:$Q$1000,"&lt;&gt;")+COUNTIFS(Form127_Raw!$A$2:$A$1000,$A50,Form127_Raw!$F$2:$F$1000,"&gt;=2019",Form127_Raw!$F$2:$F$1000,"&lt;=2024",Form127_Raw!$R$2:$R$1000,"&lt;&gt;"))/30</f>
        <v>0</v>
      </c>
      <c r="T50" s="14" t="str">
        <f t="shared" si="9"/>
        <v>Not Loaded</v>
      </c>
    </row>
    <row r="51" spans="1:20">
      <c r="A51" s="14" t="str">
        <f>Airport_Master!A44</f>
        <v>RSW</v>
      </c>
      <c r="B51" s="14" t="str">
        <f>Airport_Master!B44</f>
        <v>Southwest Florida International</v>
      </c>
      <c r="C51" s="14" t="str">
        <f>Airport_Master!E44</f>
        <v>Medium</v>
      </c>
      <c r="D51" s="14">
        <f>COUNTIFS(Form127_Raw!$A$2:$A$1000,$A51,Form127_Raw!$F$2:$F$1000,"&gt;=2019",Form127_Raw!$F$2:$F$1000,"&lt;=2024")</f>
        <v>0</v>
      </c>
      <c r="E51" s="29">
        <f t="shared" si="5"/>
        <v>0</v>
      </c>
      <c r="F51" s="14">
        <f>COUNTIFS(Form127_Raw!$A$2:$A$1000,$A51,Form127_Raw!$F$2:$F$1000,"&gt;=2019",Form127_Raw!$F$2:$F$1000,"&lt;=2024",Form127_Raw!$G$2:$G$1000,"&lt;&gt;")</f>
        <v>0</v>
      </c>
      <c r="G51" s="14">
        <f>COUNTIFS(Form127_Raw!$A$2:$A$1000,$A51,Form127_Raw!$F$2:$F$1000,"&gt;=2019",Form127_Raw!$F$2:$F$1000,"&lt;=2024",Form127_Raw!$H$2:$H$1000,"&lt;&gt;")</f>
        <v>0</v>
      </c>
      <c r="H51" s="14">
        <f>COUNTIFS(Form127_Raw!$A$2:$A$1000,$A51,Form127_Raw!$F$2:$F$1000,"&gt;=2019",Form127_Raw!$F$2:$F$1000,"&lt;=2024",Form127_Raw!$S$2:$S$1000,"&lt;&gt;")</f>
        <v>0</v>
      </c>
      <c r="I51" s="14">
        <f>COUNTIFS(Form127_Raw!$A$2:$A$1000,$A51,Form127_Raw!$F$2:$F$1000,"&gt;=2019",Form127_Raw!$F$2:$F$1000,"&lt;=2024",Form127_Raw!$T$2:$T$1000,"&lt;&gt;")</f>
        <v>0</v>
      </c>
      <c r="J51" s="14">
        <f>COUNTIFS(Form127_Raw!$A$2:$A$1000,$A51,Form127_Raw!$F$2:$F$1000,"&gt;=2019",Form127_Raw!$F$2:$F$1000,"&lt;=2024",Form127_Raw!$N$2:$N$1000,"&lt;&gt;")</f>
        <v>0</v>
      </c>
      <c r="K51" s="14">
        <f>COUNTIFS(Form127_Raw!$A$2:$A$1000,$A51,Form127_Raw!$F$2:$F$1000,"&gt;=2019",Form127_Raw!$F$2:$F$1000,"&lt;=2024",Form127_Raw!$M$2:$M$1000,"&lt;&gt;")</f>
        <v>0</v>
      </c>
      <c r="L51" s="14">
        <f>COUNTIFS(Form127_Raw!$A$2:$A$1000,$A51,Form127_Raw!$F$2:$F$1000,"&gt;=2019",Form127_Raw!$F$2:$F$1000,"&lt;=2024",Form127_Raw!$K$2:$K$1000,"&lt;&gt;")</f>
        <v>0</v>
      </c>
      <c r="M51" s="14">
        <f>COUNTIFS(Form127_Raw!$A$2:$A$1000,$A51,Form127_Raw!$F$2:$F$1000,"&gt;=2019",Form127_Raw!$F$2:$F$1000,"&lt;=2024",Form127_Raw!$L$2:$L$1000,"&lt;&gt;")</f>
        <v>0</v>
      </c>
      <c r="N51" s="14">
        <f>COUNTIFS(Form127_Raw!$A$2:$A$1000,$A51,Form127_Raw!$F$2:$F$1000,"&gt;=2019",Form127_Raw!$F$2:$F$1000,"&lt;=2024",Form127_Raw!$P$2:$P$1000,"&lt;&gt;")</f>
        <v>0</v>
      </c>
      <c r="O51" s="29">
        <f t="shared" si="6"/>
        <v>0</v>
      </c>
      <c r="P51" s="29">
        <f t="shared" si="7"/>
        <v>0</v>
      </c>
      <c r="Q51" s="14">
        <f>COUNTIFS(Form127_Raw!$A$2:$A$1000,$A51,Form127_Raw!$F$2:$F$1000,"&gt;=2019",Form127_Raw!$F$2:$F$1000,"&lt;=2024",Form127_Raw!$N$2:$N$1000,0)+COUNTIFS(Form127_Raw!$A$2:$A$1000,$A51,Form127_Raw!$F$2:$F$1000,"&gt;=2019",Form127_Raw!$F$2:$F$1000,"&lt;=2024",Form127_Raw!$M$2:$M$1000,0)+COUNTIFS(Form127_Raw!$A$2:$A$1000,$A51,Form127_Raw!$F$2:$F$1000,"&gt;=2019",Form127_Raw!$F$2:$F$1000,"&lt;=2024",Form127_Raw!$K$2:$K$1000,0)+COUNTIFS(Form127_Raw!$A$2:$A$1000,$A51,Form127_Raw!$F$2:$F$1000,"&gt;=2019",Form127_Raw!$F$2:$F$1000,"&lt;=2024",Form127_Raw!$L$2:$L$1000,0)+COUNTIFS(Form127_Raw!$A$2:$A$1000,$A51,Form127_Raw!$F$2:$F$1000,"&gt;=2019",Form127_Raw!$F$2:$F$1000,"&lt;=2024",Form127_Raw!$P$2:$P$1000,0)</f>
        <v>0</v>
      </c>
      <c r="R51" s="29">
        <f t="shared" si="8"/>
        <v>0</v>
      </c>
      <c r="S51" s="29">
        <f>(COUNTIFS(Form127_Raw!$A$2:$A$1000,$A51,Form127_Raw!$F$2:$F$1000,"&gt;=2019",Form127_Raw!$F$2:$F$1000,"&lt;=2024",Form127_Raw!$I$2:$I$1000,"&lt;&gt;")+COUNTIFS(Form127_Raw!$A$2:$A$1000,$A51,Form127_Raw!$F$2:$F$1000,"&gt;=2019",Form127_Raw!$F$2:$F$1000,"&lt;=2024",Form127_Raw!$J$2:$J$1000,"&lt;&gt;")+COUNTIFS(Form127_Raw!$A$2:$A$1000,$A51,Form127_Raw!$F$2:$F$1000,"&gt;=2019",Form127_Raw!$F$2:$F$1000,"&lt;=2024",Form127_Raw!$O$2:$O$1000,"&lt;&gt;")+COUNTIFS(Form127_Raw!$A$2:$A$1000,$A51,Form127_Raw!$F$2:$F$1000,"&gt;=2019",Form127_Raw!$F$2:$F$1000,"&lt;=2024",Form127_Raw!$Q$2:$Q$1000,"&lt;&gt;")+COUNTIFS(Form127_Raw!$A$2:$A$1000,$A51,Form127_Raw!$F$2:$F$1000,"&gt;=2019",Form127_Raw!$F$2:$F$1000,"&lt;=2024",Form127_Raw!$R$2:$R$1000,"&lt;&gt;"))/30</f>
        <v>0</v>
      </c>
      <c r="T51" s="14" t="str">
        <f t="shared" si="9"/>
        <v>Not Loaded</v>
      </c>
    </row>
    <row r="52" spans="1:20">
      <c r="A52" s="14" t="str">
        <f>Airport_Master!A45</f>
        <v>SNA</v>
      </c>
      <c r="B52" s="14" t="str">
        <f>Airport_Master!B45</f>
        <v>John Wayne/Orange County</v>
      </c>
      <c r="C52" s="14" t="str">
        <f>Airport_Master!E45</f>
        <v>Medium</v>
      </c>
      <c r="D52" s="14">
        <f>COUNTIFS(Form127_Raw!$A$2:$A$1000,$A52,Form127_Raw!$F$2:$F$1000,"&gt;=2019",Form127_Raw!$F$2:$F$1000,"&lt;=2024")</f>
        <v>0</v>
      </c>
      <c r="E52" s="29">
        <f t="shared" si="5"/>
        <v>0</v>
      </c>
      <c r="F52" s="14">
        <f>COUNTIFS(Form127_Raw!$A$2:$A$1000,$A52,Form127_Raw!$F$2:$F$1000,"&gt;=2019",Form127_Raw!$F$2:$F$1000,"&lt;=2024",Form127_Raw!$G$2:$G$1000,"&lt;&gt;")</f>
        <v>0</v>
      </c>
      <c r="G52" s="14">
        <f>COUNTIFS(Form127_Raw!$A$2:$A$1000,$A52,Form127_Raw!$F$2:$F$1000,"&gt;=2019",Form127_Raw!$F$2:$F$1000,"&lt;=2024",Form127_Raw!$H$2:$H$1000,"&lt;&gt;")</f>
        <v>0</v>
      </c>
      <c r="H52" s="14">
        <f>COUNTIFS(Form127_Raw!$A$2:$A$1000,$A52,Form127_Raw!$F$2:$F$1000,"&gt;=2019",Form127_Raw!$F$2:$F$1000,"&lt;=2024",Form127_Raw!$S$2:$S$1000,"&lt;&gt;")</f>
        <v>0</v>
      </c>
      <c r="I52" s="14">
        <f>COUNTIFS(Form127_Raw!$A$2:$A$1000,$A52,Form127_Raw!$F$2:$F$1000,"&gt;=2019",Form127_Raw!$F$2:$F$1000,"&lt;=2024",Form127_Raw!$T$2:$T$1000,"&lt;&gt;")</f>
        <v>0</v>
      </c>
      <c r="J52" s="14">
        <f>COUNTIFS(Form127_Raw!$A$2:$A$1000,$A52,Form127_Raw!$F$2:$F$1000,"&gt;=2019",Form127_Raw!$F$2:$F$1000,"&lt;=2024",Form127_Raw!$N$2:$N$1000,"&lt;&gt;")</f>
        <v>0</v>
      </c>
      <c r="K52" s="14">
        <f>COUNTIFS(Form127_Raw!$A$2:$A$1000,$A52,Form127_Raw!$F$2:$F$1000,"&gt;=2019",Form127_Raw!$F$2:$F$1000,"&lt;=2024",Form127_Raw!$M$2:$M$1000,"&lt;&gt;")</f>
        <v>0</v>
      </c>
      <c r="L52" s="14">
        <f>COUNTIFS(Form127_Raw!$A$2:$A$1000,$A52,Form127_Raw!$F$2:$F$1000,"&gt;=2019",Form127_Raw!$F$2:$F$1000,"&lt;=2024",Form127_Raw!$K$2:$K$1000,"&lt;&gt;")</f>
        <v>0</v>
      </c>
      <c r="M52" s="14">
        <f>COUNTIFS(Form127_Raw!$A$2:$A$1000,$A52,Form127_Raw!$F$2:$F$1000,"&gt;=2019",Form127_Raw!$F$2:$F$1000,"&lt;=2024",Form127_Raw!$L$2:$L$1000,"&lt;&gt;")</f>
        <v>0</v>
      </c>
      <c r="N52" s="14">
        <f>COUNTIFS(Form127_Raw!$A$2:$A$1000,$A52,Form127_Raw!$F$2:$F$1000,"&gt;=2019",Form127_Raw!$F$2:$F$1000,"&lt;=2024",Form127_Raw!$P$2:$P$1000,"&lt;&gt;")</f>
        <v>0</v>
      </c>
      <c r="O52" s="29">
        <f t="shared" si="6"/>
        <v>0</v>
      </c>
      <c r="P52" s="29">
        <f t="shared" si="7"/>
        <v>0</v>
      </c>
      <c r="Q52" s="14">
        <f>COUNTIFS(Form127_Raw!$A$2:$A$1000,$A52,Form127_Raw!$F$2:$F$1000,"&gt;=2019",Form127_Raw!$F$2:$F$1000,"&lt;=2024",Form127_Raw!$N$2:$N$1000,0)+COUNTIFS(Form127_Raw!$A$2:$A$1000,$A52,Form127_Raw!$F$2:$F$1000,"&gt;=2019",Form127_Raw!$F$2:$F$1000,"&lt;=2024",Form127_Raw!$M$2:$M$1000,0)+COUNTIFS(Form127_Raw!$A$2:$A$1000,$A52,Form127_Raw!$F$2:$F$1000,"&gt;=2019",Form127_Raw!$F$2:$F$1000,"&lt;=2024",Form127_Raw!$K$2:$K$1000,0)+COUNTIFS(Form127_Raw!$A$2:$A$1000,$A52,Form127_Raw!$F$2:$F$1000,"&gt;=2019",Form127_Raw!$F$2:$F$1000,"&lt;=2024",Form127_Raw!$L$2:$L$1000,0)+COUNTIFS(Form127_Raw!$A$2:$A$1000,$A52,Form127_Raw!$F$2:$F$1000,"&gt;=2019",Form127_Raw!$F$2:$F$1000,"&lt;=2024",Form127_Raw!$P$2:$P$1000,0)</f>
        <v>0</v>
      </c>
      <c r="R52" s="29">
        <f t="shared" si="8"/>
        <v>0</v>
      </c>
      <c r="S52" s="29">
        <f>(COUNTIFS(Form127_Raw!$A$2:$A$1000,$A52,Form127_Raw!$F$2:$F$1000,"&gt;=2019",Form127_Raw!$F$2:$F$1000,"&lt;=2024",Form127_Raw!$I$2:$I$1000,"&lt;&gt;")+COUNTIFS(Form127_Raw!$A$2:$A$1000,$A52,Form127_Raw!$F$2:$F$1000,"&gt;=2019",Form127_Raw!$F$2:$F$1000,"&lt;=2024",Form127_Raw!$J$2:$J$1000,"&lt;&gt;")+COUNTIFS(Form127_Raw!$A$2:$A$1000,$A52,Form127_Raw!$F$2:$F$1000,"&gt;=2019",Form127_Raw!$F$2:$F$1000,"&lt;=2024",Form127_Raw!$O$2:$O$1000,"&lt;&gt;")+COUNTIFS(Form127_Raw!$A$2:$A$1000,$A52,Form127_Raw!$F$2:$F$1000,"&gt;=2019",Form127_Raw!$F$2:$F$1000,"&lt;=2024",Form127_Raw!$Q$2:$Q$1000,"&lt;&gt;")+COUNTIFS(Form127_Raw!$A$2:$A$1000,$A52,Form127_Raw!$F$2:$F$1000,"&gt;=2019",Form127_Raw!$F$2:$F$1000,"&lt;=2024",Form127_Raw!$R$2:$R$1000,"&lt;&gt;"))/30</f>
        <v>0</v>
      </c>
      <c r="T52" s="14" t="str">
        <f t="shared" si="9"/>
        <v>Not Loaded</v>
      </c>
    </row>
    <row r="53" spans="1:20">
      <c r="A53" s="14" t="str">
        <f>Airport_Master!A46</f>
        <v>OAK</v>
      </c>
      <c r="B53" s="14" t="str">
        <f>Airport_Master!B46</f>
        <v>Oakland San Francisco Bay</v>
      </c>
      <c r="C53" s="14" t="str">
        <f>Airport_Master!E46</f>
        <v>Medium</v>
      </c>
      <c r="D53" s="14">
        <f>COUNTIFS(Form127_Raw!$A$2:$A$1000,$A53,Form127_Raw!$F$2:$F$1000,"&gt;=2019",Form127_Raw!$F$2:$F$1000,"&lt;=2024")</f>
        <v>0</v>
      </c>
      <c r="E53" s="29">
        <f t="shared" si="5"/>
        <v>0</v>
      </c>
      <c r="F53" s="14">
        <f>COUNTIFS(Form127_Raw!$A$2:$A$1000,$A53,Form127_Raw!$F$2:$F$1000,"&gt;=2019",Form127_Raw!$F$2:$F$1000,"&lt;=2024",Form127_Raw!$G$2:$G$1000,"&lt;&gt;")</f>
        <v>0</v>
      </c>
      <c r="G53" s="14">
        <f>COUNTIFS(Form127_Raw!$A$2:$A$1000,$A53,Form127_Raw!$F$2:$F$1000,"&gt;=2019",Form127_Raw!$F$2:$F$1000,"&lt;=2024",Form127_Raw!$H$2:$H$1000,"&lt;&gt;")</f>
        <v>0</v>
      </c>
      <c r="H53" s="14">
        <f>COUNTIFS(Form127_Raw!$A$2:$A$1000,$A53,Form127_Raw!$F$2:$F$1000,"&gt;=2019",Form127_Raw!$F$2:$F$1000,"&lt;=2024",Form127_Raw!$S$2:$S$1000,"&lt;&gt;")</f>
        <v>0</v>
      </c>
      <c r="I53" s="14">
        <f>COUNTIFS(Form127_Raw!$A$2:$A$1000,$A53,Form127_Raw!$F$2:$F$1000,"&gt;=2019",Form127_Raw!$F$2:$F$1000,"&lt;=2024",Form127_Raw!$T$2:$T$1000,"&lt;&gt;")</f>
        <v>0</v>
      </c>
      <c r="J53" s="14">
        <f>COUNTIFS(Form127_Raw!$A$2:$A$1000,$A53,Form127_Raw!$F$2:$F$1000,"&gt;=2019",Form127_Raw!$F$2:$F$1000,"&lt;=2024",Form127_Raw!$N$2:$N$1000,"&lt;&gt;")</f>
        <v>0</v>
      </c>
      <c r="K53" s="14">
        <f>COUNTIFS(Form127_Raw!$A$2:$A$1000,$A53,Form127_Raw!$F$2:$F$1000,"&gt;=2019",Form127_Raw!$F$2:$F$1000,"&lt;=2024",Form127_Raw!$M$2:$M$1000,"&lt;&gt;")</f>
        <v>0</v>
      </c>
      <c r="L53" s="14">
        <f>COUNTIFS(Form127_Raw!$A$2:$A$1000,$A53,Form127_Raw!$F$2:$F$1000,"&gt;=2019",Form127_Raw!$F$2:$F$1000,"&lt;=2024",Form127_Raw!$K$2:$K$1000,"&lt;&gt;")</f>
        <v>0</v>
      </c>
      <c r="M53" s="14">
        <f>COUNTIFS(Form127_Raw!$A$2:$A$1000,$A53,Form127_Raw!$F$2:$F$1000,"&gt;=2019",Form127_Raw!$F$2:$F$1000,"&lt;=2024",Form127_Raw!$L$2:$L$1000,"&lt;&gt;")</f>
        <v>0</v>
      </c>
      <c r="N53" s="14">
        <f>COUNTIFS(Form127_Raw!$A$2:$A$1000,$A53,Form127_Raw!$F$2:$F$1000,"&gt;=2019",Form127_Raw!$F$2:$F$1000,"&lt;=2024",Form127_Raw!$P$2:$P$1000,"&lt;&gt;")</f>
        <v>0</v>
      </c>
      <c r="O53" s="29">
        <f t="shared" si="6"/>
        <v>0</v>
      </c>
      <c r="P53" s="29">
        <f t="shared" si="7"/>
        <v>0</v>
      </c>
      <c r="Q53" s="14">
        <f>COUNTIFS(Form127_Raw!$A$2:$A$1000,$A53,Form127_Raw!$F$2:$F$1000,"&gt;=2019",Form127_Raw!$F$2:$F$1000,"&lt;=2024",Form127_Raw!$N$2:$N$1000,0)+COUNTIFS(Form127_Raw!$A$2:$A$1000,$A53,Form127_Raw!$F$2:$F$1000,"&gt;=2019",Form127_Raw!$F$2:$F$1000,"&lt;=2024",Form127_Raw!$M$2:$M$1000,0)+COUNTIFS(Form127_Raw!$A$2:$A$1000,$A53,Form127_Raw!$F$2:$F$1000,"&gt;=2019",Form127_Raw!$F$2:$F$1000,"&lt;=2024",Form127_Raw!$K$2:$K$1000,0)+COUNTIFS(Form127_Raw!$A$2:$A$1000,$A53,Form127_Raw!$F$2:$F$1000,"&gt;=2019",Form127_Raw!$F$2:$F$1000,"&lt;=2024",Form127_Raw!$L$2:$L$1000,0)+COUNTIFS(Form127_Raw!$A$2:$A$1000,$A53,Form127_Raw!$F$2:$F$1000,"&gt;=2019",Form127_Raw!$F$2:$F$1000,"&lt;=2024",Form127_Raw!$P$2:$P$1000,0)</f>
        <v>0</v>
      </c>
      <c r="R53" s="29">
        <f t="shared" si="8"/>
        <v>0</v>
      </c>
      <c r="S53" s="29">
        <f>(COUNTIFS(Form127_Raw!$A$2:$A$1000,$A53,Form127_Raw!$F$2:$F$1000,"&gt;=2019",Form127_Raw!$F$2:$F$1000,"&lt;=2024",Form127_Raw!$I$2:$I$1000,"&lt;&gt;")+COUNTIFS(Form127_Raw!$A$2:$A$1000,$A53,Form127_Raw!$F$2:$F$1000,"&gt;=2019",Form127_Raw!$F$2:$F$1000,"&lt;=2024",Form127_Raw!$J$2:$J$1000,"&lt;&gt;")+COUNTIFS(Form127_Raw!$A$2:$A$1000,$A53,Form127_Raw!$F$2:$F$1000,"&gt;=2019",Form127_Raw!$F$2:$F$1000,"&lt;=2024",Form127_Raw!$O$2:$O$1000,"&lt;&gt;")+COUNTIFS(Form127_Raw!$A$2:$A$1000,$A53,Form127_Raw!$F$2:$F$1000,"&gt;=2019",Form127_Raw!$F$2:$F$1000,"&lt;=2024",Form127_Raw!$Q$2:$Q$1000,"&lt;&gt;")+COUNTIFS(Form127_Raw!$A$2:$A$1000,$A53,Form127_Raw!$F$2:$F$1000,"&gt;=2019",Form127_Raw!$F$2:$F$1000,"&lt;=2024",Form127_Raw!$R$2:$R$1000,"&lt;&gt;"))/30</f>
        <v>0</v>
      </c>
      <c r="T53" s="14" t="str">
        <f t="shared" si="9"/>
        <v>Not Loaded</v>
      </c>
    </row>
    <row r="54" spans="1:20">
      <c r="A54" s="14" t="str">
        <f>Airport_Master!A47</f>
        <v>IND</v>
      </c>
      <c r="B54" s="14" t="str">
        <f>Airport_Master!B47</f>
        <v>Indianapolis International</v>
      </c>
      <c r="C54" s="14" t="str">
        <f>Airport_Master!E47</f>
        <v>Medium</v>
      </c>
      <c r="D54" s="14">
        <f>COUNTIFS(Form127_Raw!$A$2:$A$1000,$A54,Form127_Raw!$F$2:$F$1000,"&gt;=2019",Form127_Raw!$F$2:$F$1000,"&lt;=2024")</f>
        <v>0</v>
      </c>
      <c r="E54" s="29">
        <f t="shared" si="5"/>
        <v>0</v>
      </c>
      <c r="F54" s="14">
        <f>COUNTIFS(Form127_Raw!$A$2:$A$1000,$A54,Form127_Raw!$F$2:$F$1000,"&gt;=2019",Form127_Raw!$F$2:$F$1000,"&lt;=2024",Form127_Raw!$G$2:$G$1000,"&lt;&gt;")</f>
        <v>0</v>
      </c>
      <c r="G54" s="14">
        <f>COUNTIFS(Form127_Raw!$A$2:$A$1000,$A54,Form127_Raw!$F$2:$F$1000,"&gt;=2019",Form127_Raw!$F$2:$F$1000,"&lt;=2024",Form127_Raw!$H$2:$H$1000,"&lt;&gt;")</f>
        <v>0</v>
      </c>
      <c r="H54" s="14">
        <f>COUNTIFS(Form127_Raw!$A$2:$A$1000,$A54,Form127_Raw!$F$2:$F$1000,"&gt;=2019",Form127_Raw!$F$2:$F$1000,"&lt;=2024",Form127_Raw!$S$2:$S$1000,"&lt;&gt;")</f>
        <v>0</v>
      </c>
      <c r="I54" s="14">
        <f>COUNTIFS(Form127_Raw!$A$2:$A$1000,$A54,Form127_Raw!$F$2:$F$1000,"&gt;=2019",Form127_Raw!$F$2:$F$1000,"&lt;=2024",Form127_Raw!$T$2:$T$1000,"&lt;&gt;")</f>
        <v>0</v>
      </c>
      <c r="J54" s="14">
        <f>COUNTIFS(Form127_Raw!$A$2:$A$1000,$A54,Form127_Raw!$F$2:$F$1000,"&gt;=2019",Form127_Raw!$F$2:$F$1000,"&lt;=2024",Form127_Raw!$N$2:$N$1000,"&lt;&gt;")</f>
        <v>0</v>
      </c>
      <c r="K54" s="14">
        <f>COUNTIFS(Form127_Raw!$A$2:$A$1000,$A54,Form127_Raw!$F$2:$F$1000,"&gt;=2019",Form127_Raw!$F$2:$F$1000,"&lt;=2024",Form127_Raw!$M$2:$M$1000,"&lt;&gt;")</f>
        <v>0</v>
      </c>
      <c r="L54" s="14">
        <f>COUNTIFS(Form127_Raw!$A$2:$A$1000,$A54,Form127_Raw!$F$2:$F$1000,"&gt;=2019",Form127_Raw!$F$2:$F$1000,"&lt;=2024",Form127_Raw!$K$2:$K$1000,"&lt;&gt;")</f>
        <v>0</v>
      </c>
      <c r="M54" s="14">
        <f>COUNTIFS(Form127_Raw!$A$2:$A$1000,$A54,Form127_Raw!$F$2:$F$1000,"&gt;=2019",Form127_Raw!$F$2:$F$1000,"&lt;=2024",Form127_Raw!$L$2:$L$1000,"&lt;&gt;")</f>
        <v>0</v>
      </c>
      <c r="N54" s="14">
        <f>COUNTIFS(Form127_Raw!$A$2:$A$1000,$A54,Form127_Raw!$F$2:$F$1000,"&gt;=2019",Form127_Raw!$F$2:$F$1000,"&lt;=2024",Form127_Raw!$P$2:$P$1000,"&lt;&gt;")</f>
        <v>0</v>
      </c>
      <c r="O54" s="29">
        <f t="shared" si="6"/>
        <v>0</v>
      </c>
      <c r="P54" s="29">
        <f t="shared" si="7"/>
        <v>0</v>
      </c>
      <c r="Q54" s="14">
        <f>COUNTIFS(Form127_Raw!$A$2:$A$1000,$A54,Form127_Raw!$F$2:$F$1000,"&gt;=2019",Form127_Raw!$F$2:$F$1000,"&lt;=2024",Form127_Raw!$N$2:$N$1000,0)+COUNTIFS(Form127_Raw!$A$2:$A$1000,$A54,Form127_Raw!$F$2:$F$1000,"&gt;=2019",Form127_Raw!$F$2:$F$1000,"&lt;=2024",Form127_Raw!$M$2:$M$1000,0)+COUNTIFS(Form127_Raw!$A$2:$A$1000,$A54,Form127_Raw!$F$2:$F$1000,"&gt;=2019",Form127_Raw!$F$2:$F$1000,"&lt;=2024",Form127_Raw!$K$2:$K$1000,0)+COUNTIFS(Form127_Raw!$A$2:$A$1000,$A54,Form127_Raw!$F$2:$F$1000,"&gt;=2019",Form127_Raw!$F$2:$F$1000,"&lt;=2024",Form127_Raw!$L$2:$L$1000,0)+COUNTIFS(Form127_Raw!$A$2:$A$1000,$A54,Form127_Raw!$F$2:$F$1000,"&gt;=2019",Form127_Raw!$F$2:$F$1000,"&lt;=2024",Form127_Raw!$P$2:$P$1000,0)</f>
        <v>0</v>
      </c>
      <c r="R54" s="29">
        <f t="shared" si="8"/>
        <v>0</v>
      </c>
      <c r="S54" s="29">
        <f>(COUNTIFS(Form127_Raw!$A$2:$A$1000,$A54,Form127_Raw!$F$2:$F$1000,"&gt;=2019",Form127_Raw!$F$2:$F$1000,"&lt;=2024",Form127_Raw!$I$2:$I$1000,"&lt;&gt;")+COUNTIFS(Form127_Raw!$A$2:$A$1000,$A54,Form127_Raw!$F$2:$F$1000,"&gt;=2019",Form127_Raw!$F$2:$F$1000,"&lt;=2024",Form127_Raw!$J$2:$J$1000,"&lt;&gt;")+COUNTIFS(Form127_Raw!$A$2:$A$1000,$A54,Form127_Raw!$F$2:$F$1000,"&gt;=2019",Form127_Raw!$F$2:$F$1000,"&lt;=2024",Form127_Raw!$O$2:$O$1000,"&lt;&gt;")+COUNTIFS(Form127_Raw!$A$2:$A$1000,$A54,Form127_Raw!$F$2:$F$1000,"&gt;=2019",Form127_Raw!$F$2:$F$1000,"&lt;=2024",Form127_Raw!$Q$2:$Q$1000,"&lt;&gt;")+COUNTIFS(Form127_Raw!$A$2:$A$1000,$A54,Form127_Raw!$F$2:$F$1000,"&gt;=2019",Form127_Raw!$F$2:$F$1000,"&lt;=2024",Form127_Raw!$R$2:$R$1000,"&lt;&gt;"))/30</f>
        <v>0</v>
      </c>
      <c r="T54" s="14" t="str">
        <f t="shared" si="9"/>
        <v>Not Loaded</v>
      </c>
    </row>
    <row r="55" spans="1:20">
      <c r="A55" s="14" t="str">
        <f>Airport_Master!A48</f>
        <v>CLE</v>
      </c>
      <c r="B55" s="14" t="str">
        <f>Airport_Master!B48</f>
        <v>Cleveland-Hopkins International</v>
      </c>
      <c r="C55" s="14" t="str">
        <f>Airport_Master!E48</f>
        <v>Medium</v>
      </c>
      <c r="D55" s="14">
        <f>COUNTIFS(Form127_Raw!$A$2:$A$1000,$A55,Form127_Raw!$F$2:$F$1000,"&gt;=2019",Form127_Raw!$F$2:$F$1000,"&lt;=2024")</f>
        <v>6</v>
      </c>
      <c r="E55" s="29">
        <f t="shared" si="5"/>
        <v>1</v>
      </c>
      <c r="F55" s="14">
        <f>COUNTIFS(Form127_Raw!$A$2:$A$1000,$A55,Form127_Raw!$F$2:$F$1000,"&gt;=2019",Form127_Raw!$F$2:$F$1000,"&lt;=2024",Form127_Raw!$G$2:$G$1000,"&lt;&gt;")</f>
        <v>6</v>
      </c>
      <c r="G55" s="14">
        <f>COUNTIFS(Form127_Raw!$A$2:$A$1000,$A55,Form127_Raw!$F$2:$F$1000,"&gt;=2019",Form127_Raw!$F$2:$F$1000,"&lt;=2024",Form127_Raw!$H$2:$H$1000,"&lt;&gt;")</f>
        <v>6</v>
      </c>
      <c r="H55" s="14">
        <f>COUNTIFS(Form127_Raw!$A$2:$A$1000,$A55,Form127_Raw!$F$2:$F$1000,"&gt;=2019",Form127_Raw!$F$2:$F$1000,"&lt;=2024",Form127_Raw!$S$2:$S$1000,"&lt;&gt;")</f>
        <v>6</v>
      </c>
      <c r="I55" s="14">
        <f>COUNTIFS(Form127_Raw!$A$2:$A$1000,$A55,Form127_Raw!$F$2:$F$1000,"&gt;=2019",Form127_Raw!$F$2:$F$1000,"&lt;=2024",Form127_Raw!$T$2:$T$1000,"&lt;&gt;")</f>
        <v>6</v>
      </c>
      <c r="J55" s="14">
        <f>COUNTIFS(Form127_Raw!$A$2:$A$1000,$A55,Form127_Raw!$F$2:$F$1000,"&gt;=2019",Form127_Raw!$F$2:$F$1000,"&lt;=2024",Form127_Raw!$N$2:$N$1000,"&lt;&gt;")</f>
        <v>6</v>
      </c>
      <c r="K55" s="14">
        <f>COUNTIFS(Form127_Raw!$A$2:$A$1000,$A55,Form127_Raw!$F$2:$F$1000,"&gt;=2019",Form127_Raw!$F$2:$F$1000,"&lt;=2024",Form127_Raw!$M$2:$M$1000,"&lt;&gt;")</f>
        <v>6</v>
      </c>
      <c r="L55" s="14">
        <f>COUNTIFS(Form127_Raw!$A$2:$A$1000,$A55,Form127_Raw!$F$2:$F$1000,"&gt;=2019",Form127_Raw!$F$2:$F$1000,"&lt;=2024",Form127_Raw!$K$2:$K$1000,"&lt;&gt;")</f>
        <v>6</v>
      </c>
      <c r="M55" s="14">
        <f>COUNTIFS(Form127_Raw!$A$2:$A$1000,$A55,Form127_Raw!$F$2:$F$1000,"&gt;=2019",Form127_Raw!$F$2:$F$1000,"&lt;=2024",Form127_Raw!$L$2:$L$1000,"&lt;&gt;")</f>
        <v>6</v>
      </c>
      <c r="N55" s="14">
        <f>COUNTIFS(Form127_Raw!$A$2:$A$1000,$A55,Form127_Raw!$F$2:$F$1000,"&gt;=2019",Form127_Raw!$F$2:$F$1000,"&lt;=2024",Form127_Raw!$P$2:$P$1000,"&lt;&gt;")</f>
        <v>6</v>
      </c>
      <c r="O55" s="29">
        <f t="shared" si="6"/>
        <v>1</v>
      </c>
      <c r="P55" s="29">
        <f t="shared" si="7"/>
        <v>1</v>
      </c>
      <c r="Q55" s="14">
        <f>COUNTIFS(Form127_Raw!$A$2:$A$1000,$A55,Form127_Raw!$F$2:$F$1000,"&gt;=2019",Form127_Raw!$F$2:$F$1000,"&lt;=2024",Form127_Raw!$N$2:$N$1000,0)+COUNTIFS(Form127_Raw!$A$2:$A$1000,$A55,Form127_Raw!$F$2:$F$1000,"&gt;=2019",Form127_Raw!$F$2:$F$1000,"&lt;=2024",Form127_Raw!$M$2:$M$1000,0)+COUNTIFS(Form127_Raw!$A$2:$A$1000,$A55,Form127_Raw!$F$2:$F$1000,"&gt;=2019",Form127_Raw!$F$2:$F$1000,"&lt;=2024",Form127_Raw!$K$2:$K$1000,0)+COUNTIFS(Form127_Raw!$A$2:$A$1000,$A55,Form127_Raw!$F$2:$F$1000,"&gt;=2019",Form127_Raw!$F$2:$F$1000,"&lt;=2024",Form127_Raw!$L$2:$L$1000,0)+COUNTIFS(Form127_Raw!$A$2:$A$1000,$A55,Form127_Raw!$F$2:$F$1000,"&gt;=2019",Form127_Raw!$F$2:$F$1000,"&lt;=2024",Form127_Raw!$P$2:$P$1000,0)</f>
        <v>0</v>
      </c>
      <c r="R55" s="29">
        <f t="shared" si="8"/>
        <v>1</v>
      </c>
      <c r="S55" s="29">
        <f>(COUNTIFS(Form127_Raw!$A$2:$A$1000,$A55,Form127_Raw!$F$2:$F$1000,"&gt;=2019",Form127_Raw!$F$2:$F$1000,"&lt;=2024",Form127_Raw!$I$2:$I$1000,"&lt;&gt;")+COUNTIFS(Form127_Raw!$A$2:$A$1000,$A55,Form127_Raw!$F$2:$F$1000,"&gt;=2019",Form127_Raw!$F$2:$F$1000,"&lt;=2024",Form127_Raw!$J$2:$J$1000,"&lt;&gt;")+COUNTIFS(Form127_Raw!$A$2:$A$1000,$A55,Form127_Raw!$F$2:$F$1000,"&gt;=2019",Form127_Raw!$F$2:$F$1000,"&lt;=2024",Form127_Raw!$O$2:$O$1000,"&lt;&gt;")+COUNTIFS(Form127_Raw!$A$2:$A$1000,$A55,Form127_Raw!$F$2:$F$1000,"&gt;=2019",Form127_Raw!$F$2:$F$1000,"&lt;=2024",Form127_Raw!$Q$2:$Q$1000,"&lt;&gt;")+COUNTIFS(Form127_Raw!$A$2:$A$1000,$A55,Form127_Raw!$F$2:$F$1000,"&gt;=2019",Form127_Raw!$F$2:$F$1000,"&lt;=2024",Form127_Raw!$R$2:$R$1000,"&lt;&gt;"))/30</f>
        <v>0</v>
      </c>
      <c r="T55" s="14" t="str">
        <f t="shared" si="9"/>
        <v>Excellent - FAA Backfill Pending</v>
      </c>
    </row>
    <row r="56" spans="1:20">
      <c r="A56" s="14" t="str">
        <f>Airport_Master!A49</f>
        <v>PIT</v>
      </c>
      <c r="B56" s="14" t="str">
        <f>Airport_Master!B49</f>
        <v>Pittsburgh International</v>
      </c>
      <c r="C56" s="14" t="str">
        <f>Airport_Master!E49</f>
        <v>Medium</v>
      </c>
      <c r="D56" s="14">
        <f>COUNTIFS(Form127_Raw!$A$2:$A$1000,$A56,Form127_Raw!$F$2:$F$1000,"&gt;=2019",Form127_Raw!$F$2:$F$1000,"&lt;=2024")</f>
        <v>0</v>
      </c>
      <c r="E56" s="29">
        <f t="shared" si="5"/>
        <v>0</v>
      </c>
      <c r="F56" s="14">
        <f>COUNTIFS(Form127_Raw!$A$2:$A$1000,$A56,Form127_Raw!$F$2:$F$1000,"&gt;=2019",Form127_Raw!$F$2:$F$1000,"&lt;=2024",Form127_Raw!$G$2:$G$1000,"&lt;&gt;")</f>
        <v>0</v>
      </c>
      <c r="G56" s="14">
        <f>COUNTIFS(Form127_Raw!$A$2:$A$1000,$A56,Form127_Raw!$F$2:$F$1000,"&gt;=2019",Form127_Raw!$F$2:$F$1000,"&lt;=2024",Form127_Raw!$H$2:$H$1000,"&lt;&gt;")</f>
        <v>0</v>
      </c>
      <c r="H56" s="14">
        <f>COUNTIFS(Form127_Raw!$A$2:$A$1000,$A56,Form127_Raw!$F$2:$F$1000,"&gt;=2019",Form127_Raw!$F$2:$F$1000,"&lt;=2024",Form127_Raw!$S$2:$S$1000,"&lt;&gt;")</f>
        <v>0</v>
      </c>
      <c r="I56" s="14">
        <f>COUNTIFS(Form127_Raw!$A$2:$A$1000,$A56,Form127_Raw!$F$2:$F$1000,"&gt;=2019",Form127_Raw!$F$2:$F$1000,"&lt;=2024",Form127_Raw!$T$2:$T$1000,"&lt;&gt;")</f>
        <v>0</v>
      </c>
      <c r="J56" s="14">
        <f>COUNTIFS(Form127_Raw!$A$2:$A$1000,$A56,Form127_Raw!$F$2:$F$1000,"&gt;=2019",Form127_Raw!$F$2:$F$1000,"&lt;=2024",Form127_Raw!$N$2:$N$1000,"&lt;&gt;")</f>
        <v>0</v>
      </c>
      <c r="K56" s="14">
        <f>COUNTIFS(Form127_Raw!$A$2:$A$1000,$A56,Form127_Raw!$F$2:$F$1000,"&gt;=2019",Form127_Raw!$F$2:$F$1000,"&lt;=2024",Form127_Raw!$M$2:$M$1000,"&lt;&gt;")</f>
        <v>0</v>
      </c>
      <c r="L56" s="14">
        <f>COUNTIFS(Form127_Raw!$A$2:$A$1000,$A56,Form127_Raw!$F$2:$F$1000,"&gt;=2019",Form127_Raw!$F$2:$F$1000,"&lt;=2024",Form127_Raw!$K$2:$K$1000,"&lt;&gt;")</f>
        <v>0</v>
      </c>
      <c r="M56" s="14">
        <f>COUNTIFS(Form127_Raw!$A$2:$A$1000,$A56,Form127_Raw!$F$2:$F$1000,"&gt;=2019",Form127_Raw!$F$2:$F$1000,"&lt;=2024",Form127_Raw!$L$2:$L$1000,"&lt;&gt;")</f>
        <v>0</v>
      </c>
      <c r="N56" s="14">
        <f>COUNTIFS(Form127_Raw!$A$2:$A$1000,$A56,Form127_Raw!$F$2:$F$1000,"&gt;=2019",Form127_Raw!$F$2:$F$1000,"&lt;=2024",Form127_Raw!$P$2:$P$1000,"&lt;&gt;")</f>
        <v>0</v>
      </c>
      <c r="O56" s="29">
        <f t="shared" si="6"/>
        <v>0</v>
      </c>
      <c r="P56" s="29">
        <f t="shared" si="7"/>
        <v>0</v>
      </c>
      <c r="Q56" s="14">
        <f>COUNTIFS(Form127_Raw!$A$2:$A$1000,$A56,Form127_Raw!$F$2:$F$1000,"&gt;=2019",Form127_Raw!$F$2:$F$1000,"&lt;=2024",Form127_Raw!$N$2:$N$1000,0)+COUNTIFS(Form127_Raw!$A$2:$A$1000,$A56,Form127_Raw!$F$2:$F$1000,"&gt;=2019",Form127_Raw!$F$2:$F$1000,"&lt;=2024",Form127_Raw!$M$2:$M$1000,0)+COUNTIFS(Form127_Raw!$A$2:$A$1000,$A56,Form127_Raw!$F$2:$F$1000,"&gt;=2019",Form127_Raw!$F$2:$F$1000,"&lt;=2024",Form127_Raw!$K$2:$K$1000,0)+COUNTIFS(Form127_Raw!$A$2:$A$1000,$A56,Form127_Raw!$F$2:$F$1000,"&gt;=2019",Form127_Raw!$F$2:$F$1000,"&lt;=2024",Form127_Raw!$L$2:$L$1000,0)+COUNTIFS(Form127_Raw!$A$2:$A$1000,$A56,Form127_Raw!$F$2:$F$1000,"&gt;=2019",Form127_Raw!$F$2:$F$1000,"&lt;=2024",Form127_Raw!$P$2:$P$1000,0)</f>
        <v>0</v>
      </c>
      <c r="R56" s="29">
        <f t="shared" si="8"/>
        <v>0</v>
      </c>
      <c r="S56" s="29">
        <f>(COUNTIFS(Form127_Raw!$A$2:$A$1000,$A56,Form127_Raw!$F$2:$F$1000,"&gt;=2019",Form127_Raw!$F$2:$F$1000,"&lt;=2024",Form127_Raw!$I$2:$I$1000,"&lt;&gt;")+COUNTIFS(Form127_Raw!$A$2:$A$1000,$A56,Form127_Raw!$F$2:$F$1000,"&gt;=2019",Form127_Raw!$F$2:$F$1000,"&lt;=2024",Form127_Raw!$J$2:$J$1000,"&lt;&gt;")+COUNTIFS(Form127_Raw!$A$2:$A$1000,$A56,Form127_Raw!$F$2:$F$1000,"&gt;=2019",Form127_Raw!$F$2:$F$1000,"&lt;=2024",Form127_Raw!$O$2:$O$1000,"&lt;&gt;")+COUNTIFS(Form127_Raw!$A$2:$A$1000,$A56,Form127_Raw!$F$2:$F$1000,"&gt;=2019",Form127_Raw!$F$2:$F$1000,"&lt;=2024",Form127_Raw!$Q$2:$Q$1000,"&lt;&gt;")+COUNTIFS(Form127_Raw!$A$2:$A$1000,$A56,Form127_Raw!$F$2:$F$1000,"&gt;=2019",Form127_Raw!$F$2:$F$1000,"&lt;=2024",Form127_Raw!$R$2:$R$1000,"&lt;&gt;"))/30</f>
        <v>0</v>
      </c>
      <c r="T56" s="14" t="str">
        <f t="shared" si="9"/>
        <v>Not Loaded</v>
      </c>
    </row>
    <row r="57" spans="1:20">
      <c r="A57" s="14" t="str">
        <f>Airport_Master!A50</f>
        <v>CVG</v>
      </c>
      <c r="B57" s="14" t="str">
        <f>Airport_Master!B50</f>
        <v>Cincinnati/Northern Kentucky International</v>
      </c>
      <c r="C57" s="14" t="str">
        <f>Airport_Master!E50</f>
        <v>Medium</v>
      </c>
      <c r="D57" s="14">
        <f>COUNTIFS(Form127_Raw!$A$2:$A$1000,$A57,Form127_Raw!$F$2:$F$1000,"&gt;=2019",Form127_Raw!$F$2:$F$1000,"&lt;=2024")</f>
        <v>0</v>
      </c>
      <c r="E57" s="29">
        <f t="shared" si="5"/>
        <v>0</v>
      </c>
      <c r="F57" s="14">
        <f>COUNTIFS(Form127_Raw!$A$2:$A$1000,$A57,Form127_Raw!$F$2:$F$1000,"&gt;=2019",Form127_Raw!$F$2:$F$1000,"&lt;=2024",Form127_Raw!$G$2:$G$1000,"&lt;&gt;")</f>
        <v>0</v>
      </c>
      <c r="G57" s="14">
        <f>COUNTIFS(Form127_Raw!$A$2:$A$1000,$A57,Form127_Raw!$F$2:$F$1000,"&gt;=2019",Form127_Raw!$F$2:$F$1000,"&lt;=2024",Form127_Raw!$H$2:$H$1000,"&lt;&gt;")</f>
        <v>0</v>
      </c>
      <c r="H57" s="14">
        <f>COUNTIFS(Form127_Raw!$A$2:$A$1000,$A57,Form127_Raw!$F$2:$F$1000,"&gt;=2019",Form127_Raw!$F$2:$F$1000,"&lt;=2024",Form127_Raw!$S$2:$S$1000,"&lt;&gt;")</f>
        <v>0</v>
      </c>
      <c r="I57" s="14">
        <f>COUNTIFS(Form127_Raw!$A$2:$A$1000,$A57,Form127_Raw!$F$2:$F$1000,"&gt;=2019",Form127_Raw!$F$2:$F$1000,"&lt;=2024",Form127_Raw!$T$2:$T$1000,"&lt;&gt;")</f>
        <v>0</v>
      </c>
      <c r="J57" s="14">
        <f>COUNTIFS(Form127_Raw!$A$2:$A$1000,$A57,Form127_Raw!$F$2:$F$1000,"&gt;=2019",Form127_Raw!$F$2:$F$1000,"&lt;=2024",Form127_Raw!$N$2:$N$1000,"&lt;&gt;")</f>
        <v>0</v>
      </c>
      <c r="K57" s="14">
        <f>COUNTIFS(Form127_Raw!$A$2:$A$1000,$A57,Form127_Raw!$F$2:$F$1000,"&gt;=2019",Form127_Raw!$F$2:$F$1000,"&lt;=2024",Form127_Raw!$M$2:$M$1000,"&lt;&gt;")</f>
        <v>0</v>
      </c>
      <c r="L57" s="14">
        <f>COUNTIFS(Form127_Raw!$A$2:$A$1000,$A57,Form127_Raw!$F$2:$F$1000,"&gt;=2019",Form127_Raw!$F$2:$F$1000,"&lt;=2024",Form127_Raw!$K$2:$K$1000,"&lt;&gt;")</f>
        <v>0</v>
      </c>
      <c r="M57" s="14">
        <f>COUNTIFS(Form127_Raw!$A$2:$A$1000,$A57,Form127_Raw!$F$2:$F$1000,"&gt;=2019",Form127_Raw!$F$2:$F$1000,"&lt;=2024",Form127_Raw!$L$2:$L$1000,"&lt;&gt;")</f>
        <v>0</v>
      </c>
      <c r="N57" s="14">
        <f>COUNTIFS(Form127_Raw!$A$2:$A$1000,$A57,Form127_Raw!$F$2:$F$1000,"&gt;=2019",Form127_Raw!$F$2:$F$1000,"&lt;=2024",Form127_Raw!$P$2:$P$1000,"&lt;&gt;")</f>
        <v>0</v>
      </c>
      <c r="O57" s="29">
        <f t="shared" si="6"/>
        <v>0</v>
      </c>
      <c r="P57" s="29">
        <f t="shared" si="7"/>
        <v>0</v>
      </c>
      <c r="Q57" s="14">
        <f>COUNTIFS(Form127_Raw!$A$2:$A$1000,$A57,Form127_Raw!$F$2:$F$1000,"&gt;=2019",Form127_Raw!$F$2:$F$1000,"&lt;=2024",Form127_Raw!$N$2:$N$1000,0)+COUNTIFS(Form127_Raw!$A$2:$A$1000,$A57,Form127_Raw!$F$2:$F$1000,"&gt;=2019",Form127_Raw!$F$2:$F$1000,"&lt;=2024",Form127_Raw!$M$2:$M$1000,0)+COUNTIFS(Form127_Raw!$A$2:$A$1000,$A57,Form127_Raw!$F$2:$F$1000,"&gt;=2019",Form127_Raw!$F$2:$F$1000,"&lt;=2024",Form127_Raw!$K$2:$K$1000,0)+COUNTIFS(Form127_Raw!$A$2:$A$1000,$A57,Form127_Raw!$F$2:$F$1000,"&gt;=2019",Form127_Raw!$F$2:$F$1000,"&lt;=2024",Form127_Raw!$L$2:$L$1000,0)+COUNTIFS(Form127_Raw!$A$2:$A$1000,$A57,Form127_Raw!$F$2:$F$1000,"&gt;=2019",Form127_Raw!$F$2:$F$1000,"&lt;=2024",Form127_Raw!$P$2:$P$1000,0)</f>
        <v>0</v>
      </c>
      <c r="R57" s="29">
        <f t="shared" si="8"/>
        <v>0</v>
      </c>
      <c r="S57" s="29">
        <f>(COUNTIFS(Form127_Raw!$A$2:$A$1000,$A57,Form127_Raw!$F$2:$F$1000,"&gt;=2019",Form127_Raw!$F$2:$F$1000,"&lt;=2024",Form127_Raw!$I$2:$I$1000,"&lt;&gt;")+COUNTIFS(Form127_Raw!$A$2:$A$1000,$A57,Form127_Raw!$F$2:$F$1000,"&gt;=2019",Form127_Raw!$F$2:$F$1000,"&lt;=2024",Form127_Raw!$J$2:$J$1000,"&lt;&gt;")+COUNTIFS(Form127_Raw!$A$2:$A$1000,$A57,Form127_Raw!$F$2:$F$1000,"&gt;=2019",Form127_Raw!$F$2:$F$1000,"&lt;=2024",Form127_Raw!$O$2:$O$1000,"&lt;&gt;")+COUNTIFS(Form127_Raw!$A$2:$A$1000,$A57,Form127_Raw!$F$2:$F$1000,"&gt;=2019",Form127_Raw!$F$2:$F$1000,"&lt;=2024",Form127_Raw!$Q$2:$Q$1000,"&lt;&gt;")+COUNTIFS(Form127_Raw!$A$2:$A$1000,$A57,Form127_Raw!$F$2:$F$1000,"&gt;=2019",Form127_Raw!$F$2:$F$1000,"&lt;=2024",Form127_Raw!$R$2:$R$1000,"&lt;&gt;"))/30</f>
        <v>0</v>
      </c>
      <c r="T57" s="14" t="str">
        <f t="shared" si="9"/>
        <v>Not Loaded</v>
      </c>
    </row>
    <row r="58" spans="1:20">
      <c r="A58" s="14" t="str">
        <f>Airport_Master!A51</f>
        <v>CMH</v>
      </c>
      <c r="B58" s="14" t="str">
        <f>Airport_Master!B51</f>
        <v>John Glenn Columbus International</v>
      </c>
      <c r="C58" s="14" t="str">
        <f>Airport_Master!E51</f>
        <v>Medium</v>
      </c>
      <c r="D58" s="14">
        <f>COUNTIFS(Form127_Raw!$A$2:$A$1000,$A58,Form127_Raw!$F$2:$F$1000,"&gt;=2019",Form127_Raw!$F$2:$F$1000,"&lt;=2024")</f>
        <v>0</v>
      </c>
      <c r="E58" s="29">
        <f t="shared" si="5"/>
        <v>0</v>
      </c>
      <c r="F58" s="14">
        <f>COUNTIFS(Form127_Raw!$A$2:$A$1000,$A58,Form127_Raw!$F$2:$F$1000,"&gt;=2019",Form127_Raw!$F$2:$F$1000,"&lt;=2024",Form127_Raw!$G$2:$G$1000,"&lt;&gt;")</f>
        <v>0</v>
      </c>
      <c r="G58" s="14">
        <f>COUNTIFS(Form127_Raw!$A$2:$A$1000,$A58,Form127_Raw!$F$2:$F$1000,"&gt;=2019",Form127_Raw!$F$2:$F$1000,"&lt;=2024",Form127_Raw!$H$2:$H$1000,"&lt;&gt;")</f>
        <v>0</v>
      </c>
      <c r="H58" s="14">
        <f>COUNTIFS(Form127_Raw!$A$2:$A$1000,$A58,Form127_Raw!$F$2:$F$1000,"&gt;=2019",Form127_Raw!$F$2:$F$1000,"&lt;=2024",Form127_Raw!$S$2:$S$1000,"&lt;&gt;")</f>
        <v>0</v>
      </c>
      <c r="I58" s="14">
        <f>COUNTIFS(Form127_Raw!$A$2:$A$1000,$A58,Form127_Raw!$F$2:$F$1000,"&gt;=2019",Form127_Raw!$F$2:$F$1000,"&lt;=2024",Form127_Raw!$T$2:$T$1000,"&lt;&gt;")</f>
        <v>0</v>
      </c>
      <c r="J58" s="14">
        <f>COUNTIFS(Form127_Raw!$A$2:$A$1000,$A58,Form127_Raw!$F$2:$F$1000,"&gt;=2019",Form127_Raw!$F$2:$F$1000,"&lt;=2024",Form127_Raw!$N$2:$N$1000,"&lt;&gt;")</f>
        <v>0</v>
      </c>
      <c r="K58" s="14">
        <f>COUNTIFS(Form127_Raw!$A$2:$A$1000,$A58,Form127_Raw!$F$2:$F$1000,"&gt;=2019",Form127_Raw!$F$2:$F$1000,"&lt;=2024",Form127_Raw!$M$2:$M$1000,"&lt;&gt;")</f>
        <v>0</v>
      </c>
      <c r="L58" s="14">
        <f>COUNTIFS(Form127_Raw!$A$2:$A$1000,$A58,Form127_Raw!$F$2:$F$1000,"&gt;=2019",Form127_Raw!$F$2:$F$1000,"&lt;=2024",Form127_Raw!$K$2:$K$1000,"&lt;&gt;")</f>
        <v>0</v>
      </c>
      <c r="M58" s="14">
        <f>COUNTIFS(Form127_Raw!$A$2:$A$1000,$A58,Form127_Raw!$F$2:$F$1000,"&gt;=2019",Form127_Raw!$F$2:$F$1000,"&lt;=2024",Form127_Raw!$L$2:$L$1000,"&lt;&gt;")</f>
        <v>0</v>
      </c>
      <c r="N58" s="14">
        <f>COUNTIFS(Form127_Raw!$A$2:$A$1000,$A58,Form127_Raw!$F$2:$F$1000,"&gt;=2019",Form127_Raw!$F$2:$F$1000,"&lt;=2024",Form127_Raw!$P$2:$P$1000,"&lt;&gt;")</f>
        <v>0</v>
      </c>
      <c r="O58" s="29">
        <f t="shared" si="6"/>
        <v>0</v>
      </c>
      <c r="P58" s="29">
        <f t="shared" si="7"/>
        <v>0</v>
      </c>
      <c r="Q58" s="14">
        <f>COUNTIFS(Form127_Raw!$A$2:$A$1000,$A58,Form127_Raw!$F$2:$F$1000,"&gt;=2019",Form127_Raw!$F$2:$F$1000,"&lt;=2024",Form127_Raw!$N$2:$N$1000,0)+COUNTIFS(Form127_Raw!$A$2:$A$1000,$A58,Form127_Raw!$F$2:$F$1000,"&gt;=2019",Form127_Raw!$F$2:$F$1000,"&lt;=2024",Form127_Raw!$M$2:$M$1000,0)+COUNTIFS(Form127_Raw!$A$2:$A$1000,$A58,Form127_Raw!$F$2:$F$1000,"&gt;=2019",Form127_Raw!$F$2:$F$1000,"&lt;=2024",Form127_Raw!$K$2:$K$1000,0)+COUNTIFS(Form127_Raw!$A$2:$A$1000,$A58,Form127_Raw!$F$2:$F$1000,"&gt;=2019",Form127_Raw!$F$2:$F$1000,"&lt;=2024",Form127_Raw!$L$2:$L$1000,0)+COUNTIFS(Form127_Raw!$A$2:$A$1000,$A58,Form127_Raw!$F$2:$F$1000,"&gt;=2019",Form127_Raw!$F$2:$F$1000,"&lt;=2024",Form127_Raw!$P$2:$P$1000,0)</f>
        <v>0</v>
      </c>
      <c r="R58" s="29">
        <f t="shared" si="8"/>
        <v>0</v>
      </c>
      <c r="S58" s="29">
        <f>(COUNTIFS(Form127_Raw!$A$2:$A$1000,$A58,Form127_Raw!$F$2:$F$1000,"&gt;=2019",Form127_Raw!$F$2:$F$1000,"&lt;=2024",Form127_Raw!$I$2:$I$1000,"&lt;&gt;")+COUNTIFS(Form127_Raw!$A$2:$A$1000,$A58,Form127_Raw!$F$2:$F$1000,"&gt;=2019",Form127_Raw!$F$2:$F$1000,"&lt;=2024",Form127_Raw!$J$2:$J$1000,"&lt;&gt;")+COUNTIFS(Form127_Raw!$A$2:$A$1000,$A58,Form127_Raw!$F$2:$F$1000,"&gt;=2019",Form127_Raw!$F$2:$F$1000,"&lt;=2024",Form127_Raw!$O$2:$O$1000,"&lt;&gt;")+COUNTIFS(Form127_Raw!$A$2:$A$1000,$A58,Form127_Raw!$F$2:$F$1000,"&gt;=2019",Form127_Raw!$F$2:$F$1000,"&lt;=2024",Form127_Raw!$Q$2:$Q$1000,"&lt;&gt;")+COUNTIFS(Form127_Raw!$A$2:$A$1000,$A58,Form127_Raw!$F$2:$F$1000,"&gt;=2019",Form127_Raw!$F$2:$F$1000,"&lt;=2024",Form127_Raw!$R$2:$R$1000,"&lt;&gt;"))/30</f>
        <v>0</v>
      </c>
      <c r="T58" s="14" t="str">
        <f t="shared" si="9"/>
        <v>Not Loaded</v>
      </c>
    </row>
    <row r="59" spans="1:20">
      <c r="A59" s="14" t="str">
        <f>Airport_Master!A52</f>
        <v>PBI</v>
      </c>
      <c r="B59" s="14" t="str">
        <f>Airport_Master!B52</f>
        <v>Palm Beach International</v>
      </c>
      <c r="C59" s="14" t="str">
        <f>Airport_Master!E52</f>
        <v>Medium</v>
      </c>
      <c r="D59" s="14">
        <f>COUNTIFS(Form127_Raw!$A$2:$A$1000,$A59,Form127_Raw!$F$2:$F$1000,"&gt;=2019",Form127_Raw!$F$2:$F$1000,"&lt;=2024")</f>
        <v>0</v>
      </c>
      <c r="E59" s="29">
        <f t="shared" si="5"/>
        <v>0</v>
      </c>
      <c r="F59" s="14">
        <f>COUNTIFS(Form127_Raw!$A$2:$A$1000,$A59,Form127_Raw!$F$2:$F$1000,"&gt;=2019",Form127_Raw!$F$2:$F$1000,"&lt;=2024",Form127_Raw!$G$2:$G$1000,"&lt;&gt;")</f>
        <v>0</v>
      </c>
      <c r="G59" s="14">
        <f>COUNTIFS(Form127_Raw!$A$2:$A$1000,$A59,Form127_Raw!$F$2:$F$1000,"&gt;=2019",Form127_Raw!$F$2:$F$1000,"&lt;=2024",Form127_Raw!$H$2:$H$1000,"&lt;&gt;")</f>
        <v>0</v>
      </c>
      <c r="H59" s="14">
        <f>COUNTIFS(Form127_Raw!$A$2:$A$1000,$A59,Form127_Raw!$F$2:$F$1000,"&gt;=2019",Form127_Raw!$F$2:$F$1000,"&lt;=2024",Form127_Raw!$S$2:$S$1000,"&lt;&gt;")</f>
        <v>0</v>
      </c>
      <c r="I59" s="14">
        <f>COUNTIFS(Form127_Raw!$A$2:$A$1000,$A59,Form127_Raw!$F$2:$F$1000,"&gt;=2019",Form127_Raw!$F$2:$F$1000,"&lt;=2024",Form127_Raw!$T$2:$T$1000,"&lt;&gt;")</f>
        <v>0</v>
      </c>
      <c r="J59" s="14">
        <f>COUNTIFS(Form127_Raw!$A$2:$A$1000,$A59,Form127_Raw!$F$2:$F$1000,"&gt;=2019",Form127_Raw!$F$2:$F$1000,"&lt;=2024",Form127_Raw!$N$2:$N$1000,"&lt;&gt;")</f>
        <v>0</v>
      </c>
      <c r="K59" s="14">
        <f>COUNTIFS(Form127_Raw!$A$2:$A$1000,$A59,Form127_Raw!$F$2:$F$1000,"&gt;=2019",Form127_Raw!$F$2:$F$1000,"&lt;=2024",Form127_Raw!$M$2:$M$1000,"&lt;&gt;")</f>
        <v>0</v>
      </c>
      <c r="L59" s="14">
        <f>COUNTIFS(Form127_Raw!$A$2:$A$1000,$A59,Form127_Raw!$F$2:$F$1000,"&gt;=2019",Form127_Raw!$F$2:$F$1000,"&lt;=2024",Form127_Raw!$K$2:$K$1000,"&lt;&gt;")</f>
        <v>0</v>
      </c>
      <c r="M59" s="14">
        <f>COUNTIFS(Form127_Raw!$A$2:$A$1000,$A59,Form127_Raw!$F$2:$F$1000,"&gt;=2019",Form127_Raw!$F$2:$F$1000,"&lt;=2024",Form127_Raw!$L$2:$L$1000,"&lt;&gt;")</f>
        <v>0</v>
      </c>
      <c r="N59" s="14">
        <f>COUNTIFS(Form127_Raw!$A$2:$A$1000,$A59,Form127_Raw!$F$2:$F$1000,"&gt;=2019",Form127_Raw!$F$2:$F$1000,"&lt;=2024",Form127_Raw!$P$2:$P$1000,"&lt;&gt;")</f>
        <v>0</v>
      </c>
      <c r="O59" s="29">
        <f t="shared" si="6"/>
        <v>0</v>
      </c>
      <c r="P59" s="29">
        <f t="shared" si="7"/>
        <v>0</v>
      </c>
      <c r="Q59" s="14">
        <f>COUNTIFS(Form127_Raw!$A$2:$A$1000,$A59,Form127_Raw!$F$2:$F$1000,"&gt;=2019",Form127_Raw!$F$2:$F$1000,"&lt;=2024",Form127_Raw!$N$2:$N$1000,0)+COUNTIFS(Form127_Raw!$A$2:$A$1000,$A59,Form127_Raw!$F$2:$F$1000,"&gt;=2019",Form127_Raw!$F$2:$F$1000,"&lt;=2024",Form127_Raw!$M$2:$M$1000,0)+COUNTIFS(Form127_Raw!$A$2:$A$1000,$A59,Form127_Raw!$F$2:$F$1000,"&gt;=2019",Form127_Raw!$F$2:$F$1000,"&lt;=2024",Form127_Raw!$K$2:$K$1000,0)+COUNTIFS(Form127_Raw!$A$2:$A$1000,$A59,Form127_Raw!$F$2:$F$1000,"&gt;=2019",Form127_Raw!$F$2:$F$1000,"&lt;=2024",Form127_Raw!$L$2:$L$1000,0)+COUNTIFS(Form127_Raw!$A$2:$A$1000,$A59,Form127_Raw!$F$2:$F$1000,"&gt;=2019",Form127_Raw!$F$2:$F$1000,"&lt;=2024",Form127_Raw!$P$2:$P$1000,0)</f>
        <v>0</v>
      </c>
      <c r="R59" s="29">
        <f t="shared" si="8"/>
        <v>0</v>
      </c>
      <c r="S59" s="29">
        <f>(COUNTIFS(Form127_Raw!$A$2:$A$1000,$A59,Form127_Raw!$F$2:$F$1000,"&gt;=2019",Form127_Raw!$F$2:$F$1000,"&lt;=2024",Form127_Raw!$I$2:$I$1000,"&lt;&gt;")+COUNTIFS(Form127_Raw!$A$2:$A$1000,$A59,Form127_Raw!$F$2:$F$1000,"&gt;=2019",Form127_Raw!$F$2:$F$1000,"&lt;=2024",Form127_Raw!$J$2:$J$1000,"&lt;&gt;")+COUNTIFS(Form127_Raw!$A$2:$A$1000,$A59,Form127_Raw!$F$2:$F$1000,"&gt;=2019",Form127_Raw!$F$2:$F$1000,"&lt;=2024",Form127_Raw!$O$2:$O$1000,"&lt;&gt;")+COUNTIFS(Form127_Raw!$A$2:$A$1000,$A59,Form127_Raw!$F$2:$F$1000,"&gt;=2019",Form127_Raw!$F$2:$F$1000,"&lt;=2024",Form127_Raw!$Q$2:$Q$1000,"&lt;&gt;")+COUNTIFS(Form127_Raw!$A$2:$A$1000,$A59,Form127_Raw!$F$2:$F$1000,"&gt;=2019",Form127_Raw!$F$2:$F$1000,"&lt;=2024",Form127_Raw!$R$2:$R$1000,"&lt;&gt;"))/30</f>
        <v>0</v>
      </c>
      <c r="T59" s="14" t="str">
        <f t="shared" si="9"/>
        <v>Not Loaded</v>
      </c>
    </row>
    <row r="60" spans="1:20">
      <c r="A60" s="14" t="str">
        <f>Airport_Master!A53</f>
        <v>JAX</v>
      </c>
      <c r="B60" s="14" t="str">
        <f>Airport_Master!B53</f>
        <v>Jacksonville International</v>
      </c>
      <c r="C60" s="14" t="str">
        <f>Airport_Master!E53</f>
        <v>Medium</v>
      </c>
      <c r="D60" s="14">
        <f>COUNTIFS(Form127_Raw!$A$2:$A$1000,$A60,Form127_Raw!$F$2:$F$1000,"&gt;=2019",Form127_Raw!$F$2:$F$1000,"&lt;=2024")</f>
        <v>0</v>
      </c>
      <c r="E60" s="29">
        <f t="shared" si="5"/>
        <v>0</v>
      </c>
      <c r="F60" s="14">
        <f>COUNTIFS(Form127_Raw!$A$2:$A$1000,$A60,Form127_Raw!$F$2:$F$1000,"&gt;=2019",Form127_Raw!$F$2:$F$1000,"&lt;=2024",Form127_Raw!$G$2:$G$1000,"&lt;&gt;")</f>
        <v>0</v>
      </c>
      <c r="G60" s="14">
        <f>COUNTIFS(Form127_Raw!$A$2:$A$1000,$A60,Form127_Raw!$F$2:$F$1000,"&gt;=2019",Form127_Raw!$F$2:$F$1000,"&lt;=2024",Form127_Raw!$H$2:$H$1000,"&lt;&gt;")</f>
        <v>0</v>
      </c>
      <c r="H60" s="14">
        <f>COUNTIFS(Form127_Raw!$A$2:$A$1000,$A60,Form127_Raw!$F$2:$F$1000,"&gt;=2019",Form127_Raw!$F$2:$F$1000,"&lt;=2024",Form127_Raw!$S$2:$S$1000,"&lt;&gt;")</f>
        <v>0</v>
      </c>
      <c r="I60" s="14">
        <f>COUNTIFS(Form127_Raw!$A$2:$A$1000,$A60,Form127_Raw!$F$2:$F$1000,"&gt;=2019",Form127_Raw!$F$2:$F$1000,"&lt;=2024",Form127_Raw!$T$2:$T$1000,"&lt;&gt;")</f>
        <v>0</v>
      </c>
      <c r="J60" s="14">
        <f>COUNTIFS(Form127_Raw!$A$2:$A$1000,$A60,Form127_Raw!$F$2:$F$1000,"&gt;=2019",Form127_Raw!$F$2:$F$1000,"&lt;=2024",Form127_Raw!$N$2:$N$1000,"&lt;&gt;")</f>
        <v>0</v>
      </c>
      <c r="K60" s="14">
        <f>COUNTIFS(Form127_Raw!$A$2:$A$1000,$A60,Form127_Raw!$F$2:$F$1000,"&gt;=2019",Form127_Raw!$F$2:$F$1000,"&lt;=2024",Form127_Raw!$M$2:$M$1000,"&lt;&gt;")</f>
        <v>0</v>
      </c>
      <c r="L60" s="14">
        <f>COUNTIFS(Form127_Raw!$A$2:$A$1000,$A60,Form127_Raw!$F$2:$F$1000,"&gt;=2019",Form127_Raw!$F$2:$F$1000,"&lt;=2024",Form127_Raw!$K$2:$K$1000,"&lt;&gt;")</f>
        <v>0</v>
      </c>
      <c r="M60" s="14">
        <f>COUNTIFS(Form127_Raw!$A$2:$A$1000,$A60,Form127_Raw!$F$2:$F$1000,"&gt;=2019",Form127_Raw!$F$2:$F$1000,"&lt;=2024",Form127_Raw!$L$2:$L$1000,"&lt;&gt;")</f>
        <v>0</v>
      </c>
      <c r="N60" s="14">
        <f>COUNTIFS(Form127_Raw!$A$2:$A$1000,$A60,Form127_Raw!$F$2:$F$1000,"&gt;=2019",Form127_Raw!$F$2:$F$1000,"&lt;=2024",Form127_Raw!$P$2:$P$1000,"&lt;&gt;")</f>
        <v>0</v>
      </c>
      <c r="O60" s="29">
        <f t="shared" si="6"/>
        <v>0</v>
      </c>
      <c r="P60" s="29">
        <f t="shared" si="7"/>
        <v>0</v>
      </c>
      <c r="Q60" s="14">
        <f>COUNTIFS(Form127_Raw!$A$2:$A$1000,$A60,Form127_Raw!$F$2:$F$1000,"&gt;=2019",Form127_Raw!$F$2:$F$1000,"&lt;=2024",Form127_Raw!$N$2:$N$1000,0)+COUNTIFS(Form127_Raw!$A$2:$A$1000,$A60,Form127_Raw!$F$2:$F$1000,"&gt;=2019",Form127_Raw!$F$2:$F$1000,"&lt;=2024",Form127_Raw!$M$2:$M$1000,0)+COUNTIFS(Form127_Raw!$A$2:$A$1000,$A60,Form127_Raw!$F$2:$F$1000,"&gt;=2019",Form127_Raw!$F$2:$F$1000,"&lt;=2024",Form127_Raw!$K$2:$K$1000,0)+COUNTIFS(Form127_Raw!$A$2:$A$1000,$A60,Form127_Raw!$F$2:$F$1000,"&gt;=2019",Form127_Raw!$F$2:$F$1000,"&lt;=2024",Form127_Raw!$L$2:$L$1000,0)+COUNTIFS(Form127_Raw!$A$2:$A$1000,$A60,Form127_Raw!$F$2:$F$1000,"&gt;=2019",Form127_Raw!$F$2:$F$1000,"&lt;=2024",Form127_Raw!$P$2:$P$1000,0)</f>
        <v>0</v>
      </c>
      <c r="R60" s="29">
        <f t="shared" si="8"/>
        <v>0</v>
      </c>
      <c r="S60" s="29">
        <f>(COUNTIFS(Form127_Raw!$A$2:$A$1000,$A60,Form127_Raw!$F$2:$F$1000,"&gt;=2019",Form127_Raw!$F$2:$F$1000,"&lt;=2024",Form127_Raw!$I$2:$I$1000,"&lt;&gt;")+COUNTIFS(Form127_Raw!$A$2:$A$1000,$A60,Form127_Raw!$F$2:$F$1000,"&gt;=2019",Form127_Raw!$F$2:$F$1000,"&lt;=2024",Form127_Raw!$J$2:$J$1000,"&lt;&gt;")+COUNTIFS(Form127_Raw!$A$2:$A$1000,$A60,Form127_Raw!$F$2:$F$1000,"&gt;=2019",Form127_Raw!$F$2:$F$1000,"&lt;=2024",Form127_Raw!$O$2:$O$1000,"&lt;&gt;")+COUNTIFS(Form127_Raw!$A$2:$A$1000,$A60,Form127_Raw!$F$2:$F$1000,"&gt;=2019",Form127_Raw!$F$2:$F$1000,"&lt;=2024",Form127_Raw!$Q$2:$Q$1000,"&lt;&gt;")+COUNTIFS(Form127_Raw!$A$2:$A$1000,$A60,Form127_Raw!$F$2:$F$1000,"&gt;=2019",Form127_Raw!$F$2:$F$1000,"&lt;=2024",Form127_Raw!$R$2:$R$1000,"&lt;&gt;"))/30</f>
        <v>0</v>
      </c>
      <c r="T60" s="14" t="str">
        <f t="shared" si="9"/>
        <v>Not Loaded</v>
      </c>
    </row>
    <row r="61" spans="1:20">
      <c r="A61" s="14" t="str">
        <f>Airport_Master!A54</f>
        <v>ONT</v>
      </c>
      <c r="B61" s="14" t="str">
        <f>Airport_Master!B54</f>
        <v>Ontario International</v>
      </c>
      <c r="C61" s="14" t="str">
        <f>Airport_Master!E54</f>
        <v>Medium</v>
      </c>
      <c r="D61" s="14">
        <f>COUNTIFS(Form127_Raw!$A$2:$A$1000,$A61,Form127_Raw!$F$2:$F$1000,"&gt;=2019",Form127_Raw!$F$2:$F$1000,"&lt;=2024")</f>
        <v>0</v>
      </c>
      <c r="E61" s="29">
        <f t="shared" si="5"/>
        <v>0</v>
      </c>
      <c r="F61" s="14">
        <f>COUNTIFS(Form127_Raw!$A$2:$A$1000,$A61,Form127_Raw!$F$2:$F$1000,"&gt;=2019",Form127_Raw!$F$2:$F$1000,"&lt;=2024",Form127_Raw!$G$2:$G$1000,"&lt;&gt;")</f>
        <v>0</v>
      </c>
      <c r="G61" s="14">
        <f>COUNTIFS(Form127_Raw!$A$2:$A$1000,$A61,Form127_Raw!$F$2:$F$1000,"&gt;=2019",Form127_Raw!$F$2:$F$1000,"&lt;=2024",Form127_Raw!$H$2:$H$1000,"&lt;&gt;")</f>
        <v>0</v>
      </c>
      <c r="H61" s="14">
        <f>COUNTIFS(Form127_Raw!$A$2:$A$1000,$A61,Form127_Raw!$F$2:$F$1000,"&gt;=2019",Form127_Raw!$F$2:$F$1000,"&lt;=2024",Form127_Raw!$S$2:$S$1000,"&lt;&gt;")</f>
        <v>0</v>
      </c>
      <c r="I61" s="14">
        <f>COUNTIFS(Form127_Raw!$A$2:$A$1000,$A61,Form127_Raw!$F$2:$F$1000,"&gt;=2019",Form127_Raw!$F$2:$F$1000,"&lt;=2024",Form127_Raw!$T$2:$T$1000,"&lt;&gt;")</f>
        <v>0</v>
      </c>
      <c r="J61" s="14">
        <f>COUNTIFS(Form127_Raw!$A$2:$A$1000,$A61,Form127_Raw!$F$2:$F$1000,"&gt;=2019",Form127_Raw!$F$2:$F$1000,"&lt;=2024",Form127_Raw!$N$2:$N$1000,"&lt;&gt;")</f>
        <v>0</v>
      </c>
      <c r="K61" s="14">
        <f>COUNTIFS(Form127_Raw!$A$2:$A$1000,$A61,Form127_Raw!$F$2:$F$1000,"&gt;=2019",Form127_Raw!$F$2:$F$1000,"&lt;=2024",Form127_Raw!$M$2:$M$1000,"&lt;&gt;")</f>
        <v>0</v>
      </c>
      <c r="L61" s="14">
        <f>COUNTIFS(Form127_Raw!$A$2:$A$1000,$A61,Form127_Raw!$F$2:$F$1000,"&gt;=2019",Form127_Raw!$F$2:$F$1000,"&lt;=2024",Form127_Raw!$K$2:$K$1000,"&lt;&gt;")</f>
        <v>0</v>
      </c>
      <c r="M61" s="14">
        <f>COUNTIFS(Form127_Raw!$A$2:$A$1000,$A61,Form127_Raw!$F$2:$F$1000,"&gt;=2019",Form127_Raw!$F$2:$F$1000,"&lt;=2024",Form127_Raw!$L$2:$L$1000,"&lt;&gt;")</f>
        <v>0</v>
      </c>
      <c r="N61" s="14">
        <f>COUNTIFS(Form127_Raw!$A$2:$A$1000,$A61,Form127_Raw!$F$2:$F$1000,"&gt;=2019",Form127_Raw!$F$2:$F$1000,"&lt;=2024",Form127_Raw!$P$2:$P$1000,"&lt;&gt;")</f>
        <v>0</v>
      </c>
      <c r="O61" s="29">
        <f t="shared" si="6"/>
        <v>0</v>
      </c>
      <c r="P61" s="29">
        <f t="shared" si="7"/>
        <v>0</v>
      </c>
      <c r="Q61" s="14">
        <f>COUNTIFS(Form127_Raw!$A$2:$A$1000,$A61,Form127_Raw!$F$2:$F$1000,"&gt;=2019",Form127_Raw!$F$2:$F$1000,"&lt;=2024",Form127_Raw!$N$2:$N$1000,0)+COUNTIFS(Form127_Raw!$A$2:$A$1000,$A61,Form127_Raw!$F$2:$F$1000,"&gt;=2019",Form127_Raw!$F$2:$F$1000,"&lt;=2024",Form127_Raw!$M$2:$M$1000,0)+COUNTIFS(Form127_Raw!$A$2:$A$1000,$A61,Form127_Raw!$F$2:$F$1000,"&gt;=2019",Form127_Raw!$F$2:$F$1000,"&lt;=2024",Form127_Raw!$K$2:$K$1000,0)+COUNTIFS(Form127_Raw!$A$2:$A$1000,$A61,Form127_Raw!$F$2:$F$1000,"&gt;=2019",Form127_Raw!$F$2:$F$1000,"&lt;=2024",Form127_Raw!$L$2:$L$1000,0)+COUNTIFS(Form127_Raw!$A$2:$A$1000,$A61,Form127_Raw!$F$2:$F$1000,"&gt;=2019",Form127_Raw!$F$2:$F$1000,"&lt;=2024",Form127_Raw!$P$2:$P$1000,0)</f>
        <v>0</v>
      </c>
      <c r="R61" s="29">
        <f t="shared" si="8"/>
        <v>0</v>
      </c>
      <c r="S61" s="29">
        <f>(COUNTIFS(Form127_Raw!$A$2:$A$1000,$A61,Form127_Raw!$F$2:$F$1000,"&gt;=2019",Form127_Raw!$F$2:$F$1000,"&lt;=2024",Form127_Raw!$I$2:$I$1000,"&lt;&gt;")+COUNTIFS(Form127_Raw!$A$2:$A$1000,$A61,Form127_Raw!$F$2:$F$1000,"&gt;=2019",Form127_Raw!$F$2:$F$1000,"&lt;=2024",Form127_Raw!$J$2:$J$1000,"&lt;&gt;")+COUNTIFS(Form127_Raw!$A$2:$A$1000,$A61,Form127_Raw!$F$2:$F$1000,"&gt;=2019",Form127_Raw!$F$2:$F$1000,"&lt;=2024",Form127_Raw!$O$2:$O$1000,"&lt;&gt;")+COUNTIFS(Form127_Raw!$A$2:$A$1000,$A61,Form127_Raw!$F$2:$F$1000,"&gt;=2019",Form127_Raw!$F$2:$F$1000,"&lt;=2024",Form127_Raw!$Q$2:$Q$1000,"&lt;&gt;")+COUNTIFS(Form127_Raw!$A$2:$A$1000,$A61,Form127_Raw!$F$2:$F$1000,"&gt;=2019",Form127_Raw!$F$2:$F$1000,"&lt;=2024",Form127_Raw!$R$2:$R$1000,"&lt;&gt;"))/30</f>
        <v>0</v>
      </c>
      <c r="T61" s="14" t="str">
        <f t="shared" si="9"/>
        <v>Not Loaded</v>
      </c>
    </row>
    <row r="62" spans="1:20">
      <c r="A62" s="14" t="str">
        <f>Airport_Master!A55</f>
        <v>OGG</v>
      </c>
      <c r="B62" s="14" t="str">
        <f>Airport_Master!B55</f>
        <v>Kahului</v>
      </c>
      <c r="C62" s="14" t="str">
        <f>Airport_Master!E55</f>
        <v>Medium</v>
      </c>
      <c r="D62" s="14">
        <f>COUNTIFS(Form127_Raw!$A$2:$A$1000,$A62,Form127_Raw!$F$2:$F$1000,"&gt;=2019",Form127_Raw!$F$2:$F$1000,"&lt;=2024")</f>
        <v>0</v>
      </c>
      <c r="E62" s="29">
        <f t="shared" si="5"/>
        <v>0</v>
      </c>
      <c r="F62" s="14">
        <f>COUNTIFS(Form127_Raw!$A$2:$A$1000,$A62,Form127_Raw!$F$2:$F$1000,"&gt;=2019",Form127_Raw!$F$2:$F$1000,"&lt;=2024",Form127_Raw!$G$2:$G$1000,"&lt;&gt;")</f>
        <v>0</v>
      </c>
      <c r="G62" s="14">
        <f>COUNTIFS(Form127_Raw!$A$2:$A$1000,$A62,Form127_Raw!$F$2:$F$1000,"&gt;=2019",Form127_Raw!$F$2:$F$1000,"&lt;=2024",Form127_Raw!$H$2:$H$1000,"&lt;&gt;")</f>
        <v>0</v>
      </c>
      <c r="H62" s="14">
        <f>COUNTIFS(Form127_Raw!$A$2:$A$1000,$A62,Form127_Raw!$F$2:$F$1000,"&gt;=2019",Form127_Raw!$F$2:$F$1000,"&lt;=2024",Form127_Raw!$S$2:$S$1000,"&lt;&gt;")</f>
        <v>0</v>
      </c>
      <c r="I62" s="14">
        <f>COUNTIFS(Form127_Raw!$A$2:$A$1000,$A62,Form127_Raw!$F$2:$F$1000,"&gt;=2019",Form127_Raw!$F$2:$F$1000,"&lt;=2024",Form127_Raw!$T$2:$T$1000,"&lt;&gt;")</f>
        <v>0</v>
      </c>
      <c r="J62" s="14">
        <f>COUNTIFS(Form127_Raw!$A$2:$A$1000,$A62,Form127_Raw!$F$2:$F$1000,"&gt;=2019",Form127_Raw!$F$2:$F$1000,"&lt;=2024",Form127_Raw!$N$2:$N$1000,"&lt;&gt;")</f>
        <v>0</v>
      </c>
      <c r="K62" s="14">
        <f>COUNTIFS(Form127_Raw!$A$2:$A$1000,$A62,Form127_Raw!$F$2:$F$1000,"&gt;=2019",Form127_Raw!$F$2:$F$1000,"&lt;=2024",Form127_Raw!$M$2:$M$1000,"&lt;&gt;")</f>
        <v>0</v>
      </c>
      <c r="L62" s="14">
        <f>COUNTIFS(Form127_Raw!$A$2:$A$1000,$A62,Form127_Raw!$F$2:$F$1000,"&gt;=2019",Form127_Raw!$F$2:$F$1000,"&lt;=2024",Form127_Raw!$K$2:$K$1000,"&lt;&gt;")</f>
        <v>0</v>
      </c>
      <c r="M62" s="14">
        <f>COUNTIFS(Form127_Raw!$A$2:$A$1000,$A62,Form127_Raw!$F$2:$F$1000,"&gt;=2019",Form127_Raw!$F$2:$F$1000,"&lt;=2024",Form127_Raw!$L$2:$L$1000,"&lt;&gt;")</f>
        <v>0</v>
      </c>
      <c r="N62" s="14">
        <f>COUNTIFS(Form127_Raw!$A$2:$A$1000,$A62,Form127_Raw!$F$2:$F$1000,"&gt;=2019",Form127_Raw!$F$2:$F$1000,"&lt;=2024",Form127_Raw!$P$2:$P$1000,"&lt;&gt;")</f>
        <v>0</v>
      </c>
      <c r="O62" s="29">
        <f t="shared" si="6"/>
        <v>0</v>
      </c>
      <c r="P62" s="29">
        <f t="shared" si="7"/>
        <v>0</v>
      </c>
      <c r="Q62" s="14">
        <f>COUNTIFS(Form127_Raw!$A$2:$A$1000,$A62,Form127_Raw!$F$2:$F$1000,"&gt;=2019",Form127_Raw!$F$2:$F$1000,"&lt;=2024",Form127_Raw!$N$2:$N$1000,0)+COUNTIFS(Form127_Raw!$A$2:$A$1000,$A62,Form127_Raw!$F$2:$F$1000,"&gt;=2019",Form127_Raw!$F$2:$F$1000,"&lt;=2024",Form127_Raw!$M$2:$M$1000,0)+COUNTIFS(Form127_Raw!$A$2:$A$1000,$A62,Form127_Raw!$F$2:$F$1000,"&gt;=2019",Form127_Raw!$F$2:$F$1000,"&lt;=2024",Form127_Raw!$K$2:$K$1000,0)+COUNTIFS(Form127_Raw!$A$2:$A$1000,$A62,Form127_Raw!$F$2:$F$1000,"&gt;=2019",Form127_Raw!$F$2:$F$1000,"&lt;=2024",Form127_Raw!$L$2:$L$1000,0)+COUNTIFS(Form127_Raw!$A$2:$A$1000,$A62,Form127_Raw!$F$2:$F$1000,"&gt;=2019",Form127_Raw!$F$2:$F$1000,"&lt;=2024",Form127_Raw!$P$2:$P$1000,0)</f>
        <v>0</v>
      </c>
      <c r="R62" s="29">
        <f t="shared" si="8"/>
        <v>0</v>
      </c>
      <c r="S62" s="29">
        <f>(COUNTIFS(Form127_Raw!$A$2:$A$1000,$A62,Form127_Raw!$F$2:$F$1000,"&gt;=2019",Form127_Raw!$F$2:$F$1000,"&lt;=2024",Form127_Raw!$I$2:$I$1000,"&lt;&gt;")+COUNTIFS(Form127_Raw!$A$2:$A$1000,$A62,Form127_Raw!$F$2:$F$1000,"&gt;=2019",Form127_Raw!$F$2:$F$1000,"&lt;=2024",Form127_Raw!$J$2:$J$1000,"&lt;&gt;")+COUNTIFS(Form127_Raw!$A$2:$A$1000,$A62,Form127_Raw!$F$2:$F$1000,"&gt;=2019",Form127_Raw!$F$2:$F$1000,"&lt;=2024",Form127_Raw!$O$2:$O$1000,"&lt;&gt;")+COUNTIFS(Form127_Raw!$A$2:$A$1000,$A62,Form127_Raw!$F$2:$F$1000,"&gt;=2019",Form127_Raw!$F$2:$F$1000,"&lt;=2024",Form127_Raw!$Q$2:$Q$1000,"&lt;&gt;")+COUNTIFS(Form127_Raw!$A$2:$A$1000,$A62,Form127_Raw!$F$2:$F$1000,"&gt;=2019",Form127_Raw!$F$2:$F$1000,"&lt;=2024",Form127_Raw!$R$2:$R$1000,"&lt;&gt;"))/30</f>
        <v>0</v>
      </c>
      <c r="T62" s="14" t="str">
        <f t="shared" si="9"/>
        <v>Not Loaded</v>
      </c>
    </row>
    <row r="63" spans="1:20">
      <c r="A63" s="14" t="str">
        <f>Airport_Master!A56</f>
        <v>BUR</v>
      </c>
      <c r="B63" s="14" t="str">
        <f>Airport_Master!B56</f>
        <v>Bob Hope</v>
      </c>
      <c r="C63" s="14" t="str">
        <f>Airport_Master!E56</f>
        <v>Medium</v>
      </c>
      <c r="D63" s="14">
        <f>COUNTIFS(Form127_Raw!$A$2:$A$1000,$A63,Form127_Raw!$F$2:$F$1000,"&gt;=2019",Form127_Raw!$F$2:$F$1000,"&lt;=2024")</f>
        <v>0</v>
      </c>
      <c r="E63" s="29">
        <f t="shared" si="5"/>
        <v>0</v>
      </c>
      <c r="F63" s="14">
        <f>COUNTIFS(Form127_Raw!$A$2:$A$1000,$A63,Form127_Raw!$F$2:$F$1000,"&gt;=2019",Form127_Raw!$F$2:$F$1000,"&lt;=2024",Form127_Raw!$G$2:$G$1000,"&lt;&gt;")</f>
        <v>0</v>
      </c>
      <c r="G63" s="14">
        <f>COUNTIFS(Form127_Raw!$A$2:$A$1000,$A63,Form127_Raw!$F$2:$F$1000,"&gt;=2019",Form127_Raw!$F$2:$F$1000,"&lt;=2024",Form127_Raw!$H$2:$H$1000,"&lt;&gt;")</f>
        <v>0</v>
      </c>
      <c r="H63" s="14">
        <f>COUNTIFS(Form127_Raw!$A$2:$A$1000,$A63,Form127_Raw!$F$2:$F$1000,"&gt;=2019",Form127_Raw!$F$2:$F$1000,"&lt;=2024",Form127_Raw!$S$2:$S$1000,"&lt;&gt;")</f>
        <v>0</v>
      </c>
      <c r="I63" s="14">
        <f>COUNTIFS(Form127_Raw!$A$2:$A$1000,$A63,Form127_Raw!$F$2:$F$1000,"&gt;=2019",Form127_Raw!$F$2:$F$1000,"&lt;=2024",Form127_Raw!$T$2:$T$1000,"&lt;&gt;")</f>
        <v>0</v>
      </c>
      <c r="J63" s="14">
        <f>COUNTIFS(Form127_Raw!$A$2:$A$1000,$A63,Form127_Raw!$F$2:$F$1000,"&gt;=2019",Form127_Raw!$F$2:$F$1000,"&lt;=2024",Form127_Raw!$N$2:$N$1000,"&lt;&gt;")</f>
        <v>0</v>
      </c>
      <c r="K63" s="14">
        <f>COUNTIFS(Form127_Raw!$A$2:$A$1000,$A63,Form127_Raw!$F$2:$F$1000,"&gt;=2019",Form127_Raw!$F$2:$F$1000,"&lt;=2024",Form127_Raw!$M$2:$M$1000,"&lt;&gt;")</f>
        <v>0</v>
      </c>
      <c r="L63" s="14">
        <f>COUNTIFS(Form127_Raw!$A$2:$A$1000,$A63,Form127_Raw!$F$2:$F$1000,"&gt;=2019",Form127_Raw!$F$2:$F$1000,"&lt;=2024",Form127_Raw!$K$2:$K$1000,"&lt;&gt;")</f>
        <v>0</v>
      </c>
      <c r="M63" s="14">
        <f>COUNTIFS(Form127_Raw!$A$2:$A$1000,$A63,Form127_Raw!$F$2:$F$1000,"&gt;=2019",Form127_Raw!$F$2:$F$1000,"&lt;=2024",Form127_Raw!$L$2:$L$1000,"&lt;&gt;")</f>
        <v>0</v>
      </c>
      <c r="N63" s="14">
        <f>COUNTIFS(Form127_Raw!$A$2:$A$1000,$A63,Form127_Raw!$F$2:$F$1000,"&gt;=2019",Form127_Raw!$F$2:$F$1000,"&lt;=2024",Form127_Raw!$P$2:$P$1000,"&lt;&gt;")</f>
        <v>0</v>
      </c>
      <c r="O63" s="29">
        <f t="shared" si="6"/>
        <v>0</v>
      </c>
      <c r="P63" s="29">
        <f t="shared" si="7"/>
        <v>0</v>
      </c>
      <c r="Q63" s="14">
        <f>COUNTIFS(Form127_Raw!$A$2:$A$1000,$A63,Form127_Raw!$F$2:$F$1000,"&gt;=2019",Form127_Raw!$F$2:$F$1000,"&lt;=2024",Form127_Raw!$N$2:$N$1000,0)+COUNTIFS(Form127_Raw!$A$2:$A$1000,$A63,Form127_Raw!$F$2:$F$1000,"&gt;=2019",Form127_Raw!$F$2:$F$1000,"&lt;=2024",Form127_Raw!$M$2:$M$1000,0)+COUNTIFS(Form127_Raw!$A$2:$A$1000,$A63,Form127_Raw!$F$2:$F$1000,"&gt;=2019",Form127_Raw!$F$2:$F$1000,"&lt;=2024",Form127_Raw!$K$2:$K$1000,0)+COUNTIFS(Form127_Raw!$A$2:$A$1000,$A63,Form127_Raw!$F$2:$F$1000,"&gt;=2019",Form127_Raw!$F$2:$F$1000,"&lt;=2024",Form127_Raw!$L$2:$L$1000,0)+COUNTIFS(Form127_Raw!$A$2:$A$1000,$A63,Form127_Raw!$F$2:$F$1000,"&gt;=2019",Form127_Raw!$F$2:$F$1000,"&lt;=2024",Form127_Raw!$P$2:$P$1000,0)</f>
        <v>0</v>
      </c>
      <c r="R63" s="29">
        <f t="shared" si="8"/>
        <v>0</v>
      </c>
      <c r="S63" s="29">
        <f>(COUNTIFS(Form127_Raw!$A$2:$A$1000,$A63,Form127_Raw!$F$2:$F$1000,"&gt;=2019",Form127_Raw!$F$2:$F$1000,"&lt;=2024",Form127_Raw!$I$2:$I$1000,"&lt;&gt;")+COUNTIFS(Form127_Raw!$A$2:$A$1000,$A63,Form127_Raw!$F$2:$F$1000,"&gt;=2019",Form127_Raw!$F$2:$F$1000,"&lt;=2024",Form127_Raw!$J$2:$J$1000,"&lt;&gt;")+COUNTIFS(Form127_Raw!$A$2:$A$1000,$A63,Form127_Raw!$F$2:$F$1000,"&gt;=2019",Form127_Raw!$F$2:$F$1000,"&lt;=2024",Form127_Raw!$O$2:$O$1000,"&lt;&gt;")+COUNTIFS(Form127_Raw!$A$2:$A$1000,$A63,Form127_Raw!$F$2:$F$1000,"&gt;=2019",Form127_Raw!$F$2:$F$1000,"&lt;=2024",Form127_Raw!$Q$2:$Q$1000,"&lt;&gt;")+COUNTIFS(Form127_Raw!$A$2:$A$1000,$A63,Form127_Raw!$F$2:$F$1000,"&gt;=2019",Form127_Raw!$F$2:$F$1000,"&lt;=2024",Form127_Raw!$R$2:$R$1000,"&lt;&gt;"))/30</f>
        <v>0</v>
      </c>
      <c r="T63" s="14" t="str">
        <f t="shared" si="9"/>
        <v>Not Loaded</v>
      </c>
    </row>
    <row r="64" spans="1:20">
      <c r="A64" s="14" t="str">
        <f>Airport_Master!A57</f>
        <v>BDL</v>
      </c>
      <c r="B64" s="14" t="str">
        <f>Airport_Master!B57</f>
        <v>Bradley International</v>
      </c>
      <c r="C64" s="14" t="str">
        <f>Airport_Master!E57</f>
        <v>Medium</v>
      </c>
      <c r="D64" s="14">
        <f>COUNTIFS(Form127_Raw!$A$2:$A$1000,$A64,Form127_Raw!$F$2:$F$1000,"&gt;=2019",Form127_Raw!$F$2:$F$1000,"&lt;=2024")</f>
        <v>0</v>
      </c>
      <c r="E64" s="29">
        <f t="shared" si="5"/>
        <v>0</v>
      </c>
      <c r="F64" s="14">
        <f>COUNTIFS(Form127_Raw!$A$2:$A$1000,$A64,Form127_Raw!$F$2:$F$1000,"&gt;=2019",Form127_Raw!$F$2:$F$1000,"&lt;=2024",Form127_Raw!$G$2:$G$1000,"&lt;&gt;")</f>
        <v>0</v>
      </c>
      <c r="G64" s="14">
        <f>COUNTIFS(Form127_Raw!$A$2:$A$1000,$A64,Form127_Raw!$F$2:$F$1000,"&gt;=2019",Form127_Raw!$F$2:$F$1000,"&lt;=2024",Form127_Raw!$H$2:$H$1000,"&lt;&gt;")</f>
        <v>0</v>
      </c>
      <c r="H64" s="14">
        <f>COUNTIFS(Form127_Raw!$A$2:$A$1000,$A64,Form127_Raw!$F$2:$F$1000,"&gt;=2019",Form127_Raw!$F$2:$F$1000,"&lt;=2024",Form127_Raw!$S$2:$S$1000,"&lt;&gt;")</f>
        <v>0</v>
      </c>
      <c r="I64" s="14">
        <f>COUNTIFS(Form127_Raw!$A$2:$A$1000,$A64,Form127_Raw!$F$2:$F$1000,"&gt;=2019",Form127_Raw!$F$2:$F$1000,"&lt;=2024",Form127_Raw!$T$2:$T$1000,"&lt;&gt;")</f>
        <v>0</v>
      </c>
      <c r="J64" s="14">
        <f>COUNTIFS(Form127_Raw!$A$2:$A$1000,$A64,Form127_Raw!$F$2:$F$1000,"&gt;=2019",Form127_Raw!$F$2:$F$1000,"&lt;=2024",Form127_Raw!$N$2:$N$1000,"&lt;&gt;")</f>
        <v>0</v>
      </c>
      <c r="K64" s="14">
        <f>COUNTIFS(Form127_Raw!$A$2:$A$1000,$A64,Form127_Raw!$F$2:$F$1000,"&gt;=2019",Form127_Raw!$F$2:$F$1000,"&lt;=2024",Form127_Raw!$M$2:$M$1000,"&lt;&gt;")</f>
        <v>0</v>
      </c>
      <c r="L64" s="14">
        <f>COUNTIFS(Form127_Raw!$A$2:$A$1000,$A64,Form127_Raw!$F$2:$F$1000,"&gt;=2019",Form127_Raw!$F$2:$F$1000,"&lt;=2024",Form127_Raw!$K$2:$K$1000,"&lt;&gt;")</f>
        <v>0</v>
      </c>
      <c r="M64" s="14">
        <f>COUNTIFS(Form127_Raw!$A$2:$A$1000,$A64,Form127_Raw!$F$2:$F$1000,"&gt;=2019",Form127_Raw!$F$2:$F$1000,"&lt;=2024",Form127_Raw!$L$2:$L$1000,"&lt;&gt;")</f>
        <v>0</v>
      </c>
      <c r="N64" s="14">
        <f>COUNTIFS(Form127_Raw!$A$2:$A$1000,$A64,Form127_Raw!$F$2:$F$1000,"&gt;=2019",Form127_Raw!$F$2:$F$1000,"&lt;=2024",Form127_Raw!$P$2:$P$1000,"&lt;&gt;")</f>
        <v>0</v>
      </c>
      <c r="O64" s="29">
        <f t="shared" si="6"/>
        <v>0</v>
      </c>
      <c r="P64" s="29">
        <f t="shared" si="7"/>
        <v>0</v>
      </c>
      <c r="Q64" s="14">
        <f>COUNTIFS(Form127_Raw!$A$2:$A$1000,$A64,Form127_Raw!$F$2:$F$1000,"&gt;=2019",Form127_Raw!$F$2:$F$1000,"&lt;=2024",Form127_Raw!$N$2:$N$1000,0)+COUNTIFS(Form127_Raw!$A$2:$A$1000,$A64,Form127_Raw!$F$2:$F$1000,"&gt;=2019",Form127_Raw!$F$2:$F$1000,"&lt;=2024",Form127_Raw!$M$2:$M$1000,0)+COUNTIFS(Form127_Raw!$A$2:$A$1000,$A64,Form127_Raw!$F$2:$F$1000,"&gt;=2019",Form127_Raw!$F$2:$F$1000,"&lt;=2024",Form127_Raw!$K$2:$K$1000,0)+COUNTIFS(Form127_Raw!$A$2:$A$1000,$A64,Form127_Raw!$F$2:$F$1000,"&gt;=2019",Form127_Raw!$F$2:$F$1000,"&lt;=2024",Form127_Raw!$L$2:$L$1000,0)+COUNTIFS(Form127_Raw!$A$2:$A$1000,$A64,Form127_Raw!$F$2:$F$1000,"&gt;=2019",Form127_Raw!$F$2:$F$1000,"&lt;=2024",Form127_Raw!$P$2:$P$1000,0)</f>
        <v>0</v>
      </c>
      <c r="R64" s="29">
        <f t="shared" si="8"/>
        <v>0</v>
      </c>
      <c r="S64" s="29">
        <f>(COUNTIFS(Form127_Raw!$A$2:$A$1000,$A64,Form127_Raw!$F$2:$F$1000,"&gt;=2019",Form127_Raw!$F$2:$F$1000,"&lt;=2024",Form127_Raw!$I$2:$I$1000,"&lt;&gt;")+COUNTIFS(Form127_Raw!$A$2:$A$1000,$A64,Form127_Raw!$F$2:$F$1000,"&gt;=2019",Form127_Raw!$F$2:$F$1000,"&lt;=2024",Form127_Raw!$J$2:$J$1000,"&lt;&gt;")+COUNTIFS(Form127_Raw!$A$2:$A$1000,$A64,Form127_Raw!$F$2:$F$1000,"&gt;=2019",Form127_Raw!$F$2:$F$1000,"&lt;=2024",Form127_Raw!$O$2:$O$1000,"&lt;&gt;")+COUNTIFS(Form127_Raw!$A$2:$A$1000,$A64,Form127_Raw!$F$2:$F$1000,"&gt;=2019",Form127_Raw!$F$2:$F$1000,"&lt;=2024",Form127_Raw!$Q$2:$Q$1000,"&lt;&gt;")+COUNTIFS(Form127_Raw!$A$2:$A$1000,$A64,Form127_Raw!$F$2:$F$1000,"&gt;=2019",Form127_Raw!$F$2:$F$1000,"&lt;=2024",Form127_Raw!$R$2:$R$1000,"&lt;&gt;"))/30</f>
        <v>0</v>
      </c>
      <c r="T64" s="14" t="str">
        <f t="shared" si="9"/>
        <v>Not Loaded</v>
      </c>
    </row>
    <row r="65" spans="1:20">
      <c r="A65" s="14" t="str">
        <f>Airport_Master!A58</f>
        <v>CHS</v>
      </c>
      <c r="B65" s="14" t="str">
        <f>Airport_Master!B58</f>
        <v>Charleston AFB/International</v>
      </c>
      <c r="C65" s="14" t="str">
        <f>Airport_Master!E58</f>
        <v>Medium</v>
      </c>
      <c r="D65" s="14">
        <f>COUNTIFS(Form127_Raw!$A$2:$A$1000,$A65,Form127_Raw!$F$2:$F$1000,"&gt;=2019",Form127_Raw!$F$2:$F$1000,"&lt;=2024")</f>
        <v>0</v>
      </c>
      <c r="E65" s="29">
        <f t="shared" si="5"/>
        <v>0</v>
      </c>
      <c r="F65" s="14">
        <f>COUNTIFS(Form127_Raw!$A$2:$A$1000,$A65,Form127_Raw!$F$2:$F$1000,"&gt;=2019",Form127_Raw!$F$2:$F$1000,"&lt;=2024",Form127_Raw!$G$2:$G$1000,"&lt;&gt;")</f>
        <v>0</v>
      </c>
      <c r="G65" s="14">
        <f>COUNTIFS(Form127_Raw!$A$2:$A$1000,$A65,Form127_Raw!$F$2:$F$1000,"&gt;=2019",Form127_Raw!$F$2:$F$1000,"&lt;=2024",Form127_Raw!$H$2:$H$1000,"&lt;&gt;")</f>
        <v>0</v>
      </c>
      <c r="H65" s="14">
        <f>COUNTIFS(Form127_Raw!$A$2:$A$1000,$A65,Form127_Raw!$F$2:$F$1000,"&gt;=2019",Form127_Raw!$F$2:$F$1000,"&lt;=2024",Form127_Raw!$S$2:$S$1000,"&lt;&gt;")</f>
        <v>0</v>
      </c>
      <c r="I65" s="14">
        <f>COUNTIFS(Form127_Raw!$A$2:$A$1000,$A65,Form127_Raw!$F$2:$F$1000,"&gt;=2019",Form127_Raw!$F$2:$F$1000,"&lt;=2024",Form127_Raw!$T$2:$T$1000,"&lt;&gt;")</f>
        <v>0</v>
      </c>
      <c r="J65" s="14">
        <f>COUNTIFS(Form127_Raw!$A$2:$A$1000,$A65,Form127_Raw!$F$2:$F$1000,"&gt;=2019",Form127_Raw!$F$2:$F$1000,"&lt;=2024",Form127_Raw!$N$2:$N$1000,"&lt;&gt;")</f>
        <v>0</v>
      </c>
      <c r="K65" s="14">
        <f>COUNTIFS(Form127_Raw!$A$2:$A$1000,$A65,Form127_Raw!$F$2:$F$1000,"&gt;=2019",Form127_Raw!$F$2:$F$1000,"&lt;=2024",Form127_Raw!$M$2:$M$1000,"&lt;&gt;")</f>
        <v>0</v>
      </c>
      <c r="L65" s="14">
        <f>COUNTIFS(Form127_Raw!$A$2:$A$1000,$A65,Form127_Raw!$F$2:$F$1000,"&gt;=2019",Form127_Raw!$F$2:$F$1000,"&lt;=2024",Form127_Raw!$K$2:$K$1000,"&lt;&gt;")</f>
        <v>0</v>
      </c>
      <c r="M65" s="14">
        <f>COUNTIFS(Form127_Raw!$A$2:$A$1000,$A65,Form127_Raw!$F$2:$F$1000,"&gt;=2019",Form127_Raw!$F$2:$F$1000,"&lt;=2024",Form127_Raw!$L$2:$L$1000,"&lt;&gt;")</f>
        <v>0</v>
      </c>
      <c r="N65" s="14">
        <f>COUNTIFS(Form127_Raw!$A$2:$A$1000,$A65,Form127_Raw!$F$2:$F$1000,"&gt;=2019",Form127_Raw!$F$2:$F$1000,"&lt;=2024",Form127_Raw!$P$2:$P$1000,"&lt;&gt;")</f>
        <v>0</v>
      </c>
      <c r="O65" s="29">
        <f t="shared" si="6"/>
        <v>0</v>
      </c>
      <c r="P65" s="29">
        <f t="shared" si="7"/>
        <v>0</v>
      </c>
      <c r="Q65" s="14">
        <f>COUNTIFS(Form127_Raw!$A$2:$A$1000,$A65,Form127_Raw!$F$2:$F$1000,"&gt;=2019",Form127_Raw!$F$2:$F$1000,"&lt;=2024",Form127_Raw!$N$2:$N$1000,0)+COUNTIFS(Form127_Raw!$A$2:$A$1000,$A65,Form127_Raw!$F$2:$F$1000,"&gt;=2019",Form127_Raw!$F$2:$F$1000,"&lt;=2024",Form127_Raw!$M$2:$M$1000,0)+COUNTIFS(Form127_Raw!$A$2:$A$1000,$A65,Form127_Raw!$F$2:$F$1000,"&gt;=2019",Form127_Raw!$F$2:$F$1000,"&lt;=2024",Form127_Raw!$K$2:$K$1000,0)+COUNTIFS(Form127_Raw!$A$2:$A$1000,$A65,Form127_Raw!$F$2:$F$1000,"&gt;=2019",Form127_Raw!$F$2:$F$1000,"&lt;=2024",Form127_Raw!$L$2:$L$1000,0)+COUNTIFS(Form127_Raw!$A$2:$A$1000,$A65,Form127_Raw!$F$2:$F$1000,"&gt;=2019",Form127_Raw!$F$2:$F$1000,"&lt;=2024",Form127_Raw!$P$2:$P$1000,0)</f>
        <v>0</v>
      </c>
      <c r="R65" s="29">
        <f t="shared" si="8"/>
        <v>0</v>
      </c>
      <c r="S65" s="29">
        <f>(COUNTIFS(Form127_Raw!$A$2:$A$1000,$A65,Form127_Raw!$F$2:$F$1000,"&gt;=2019",Form127_Raw!$F$2:$F$1000,"&lt;=2024",Form127_Raw!$I$2:$I$1000,"&lt;&gt;")+COUNTIFS(Form127_Raw!$A$2:$A$1000,$A65,Form127_Raw!$F$2:$F$1000,"&gt;=2019",Form127_Raw!$F$2:$F$1000,"&lt;=2024",Form127_Raw!$J$2:$J$1000,"&lt;&gt;")+COUNTIFS(Form127_Raw!$A$2:$A$1000,$A65,Form127_Raw!$F$2:$F$1000,"&gt;=2019",Form127_Raw!$F$2:$F$1000,"&lt;=2024",Form127_Raw!$O$2:$O$1000,"&lt;&gt;")+COUNTIFS(Form127_Raw!$A$2:$A$1000,$A65,Form127_Raw!$F$2:$F$1000,"&gt;=2019",Form127_Raw!$F$2:$F$1000,"&lt;=2024",Form127_Raw!$Q$2:$Q$1000,"&lt;&gt;")+COUNTIFS(Form127_Raw!$A$2:$A$1000,$A65,Form127_Raw!$F$2:$F$1000,"&gt;=2019",Form127_Raw!$F$2:$F$1000,"&lt;=2024",Form127_Raw!$R$2:$R$1000,"&lt;&gt;"))/30</f>
        <v>0</v>
      </c>
      <c r="T65" s="14" t="str">
        <f t="shared" si="9"/>
        <v>Not Loaded</v>
      </c>
    </row>
    <row r="66" spans="1:20">
      <c r="A66" s="14" t="str">
        <f>Airport_Master!A59</f>
        <v>MKE</v>
      </c>
      <c r="B66" s="14" t="str">
        <f>Airport_Master!B59</f>
        <v>General Mitchell International</v>
      </c>
      <c r="C66" s="14" t="str">
        <f>Airport_Master!E59</f>
        <v>Medium</v>
      </c>
      <c r="D66" s="14">
        <f>COUNTIFS(Form127_Raw!$A$2:$A$1000,$A66,Form127_Raw!$F$2:$F$1000,"&gt;=2019",Form127_Raw!$F$2:$F$1000,"&lt;=2024")</f>
        <v>0</v>
      </c>
      <c r="E66" s="29">
        <f t="shared" si="5"/>
        <v>0</v>
      </c>
      <c r="F66" s="14">
        <f>COUNTIFS(Form127_Raw!$A$2:$A$1000,$A66,Form127_Raw!$F$2:$F$1000,"&gt;=2019",Form127_Raw!$F$2:$F$1000,"&lt;=2024",Form127_Raw!$G$2:$G$1000,"&lt;&gt;")</f>
        <v>0</v>
      </c>
      <c r="G66" s="14">
        <f>COUNTIFS(Form127_Raw!$A$2:$A$1000,$A66,Form127_Raw!$F$2:$F$1000,"&gt;=2019",Form127_Raw!$F$2:$F$1000,"&lt;=2024",Form127_Raw!$H$2:$H$1000,"&lt;&gt;")</f>
        <v>0</v>
      </c>
      <c r="H66" s="14">
        <f>COUNTIFS(Form127_Raw!$A$2:$A$1000,$A66,Form127_Raw!$F$2:$F$1000,"&gt;=2019",Form127_Raw!$F$2:$F$1000,"&lt;=2024",Form127_Raw!$S$2:$S$1000,"&lt;&gt;")</f>
        <v>0</v>
      </c>
      <c r="I66" s="14">
        <f>COUNTIFS(Form127_Raw!$A$2:$A$1000,$A66,Form127_Raw!$F$2:$F$1000,"&gt;=2019",Form127_Raw!$F$2:$F$1000,"&lt;=2024",Form127_Raw!$T$2:$T$1000,"&lt;&gt;")</f>
        <v>0</v>
      </c>
      <c r="J66" s="14">
        <f>COUNTIFS(Form127_Raw!$A$2:$A$1000,$A66,Form127_Raw!$F$2:$F$1000,"&gt;=2019",Form127_Raw!$F$2:$F$1000,"&lt;=2024",Form127_Raw!$N$2:$N$1000,"&lt;&gt;")</f>
        <v>0</v>
      </c>
      <c r="K66" s="14">
        <f>COUNTIFS(Form127_Raw!$A$2:$A$1000,$A66,Form127_Raw!$F$2:$F$1000,"&gt;=2019",Form127_Raw!$F$2:$F$1000,"&lt;=2024",Form127_Raw!$M$2:$M$1000,"&lt;&gt;")</f>
        <v>0</v>
      </c>
      <c r="L66" s="14">
        <f>COUNTIFS(Form127_Raw!$A$2:$A$1000,$A66,Form127_Raw!$F$2:$F$1000,"&gt;=2019",Form127_Raw!$F$2:$F$1000,"&lt;=2024",Form127_Raw!$K$2:$K$1000,"&lt;&gt;")</f>
        <v>0</v>
      </c>
      <c r="M66" s="14">
        <f>COUNTIFS(Form127_Raw!$A$2:$A$1000,$A66,Form127_Raw!$F$2:$F$1000,"&gt;=2019",Form127_Raw!$F$2:$F$1000,"&lt;=2024",Form127_Raw!$L$2:$L$1000,"&lt;&gt;")</f>
        <v>0</v>
      </c>
      <c r="N66" s="14">
        <f>COUNTIFS(Form127_Raw!$A$2:$A$1000,$A66,Form127_Raw!$F$2:$F$1000,"&gt;=2019",Form127_Raw!$F$2:$F$1000,"&lt;=2024",Form127_Raw!$P$2:$P$1000,"&lt;&gt;")</f>
        <v>0</v>
      </c>
      <c r="O66" s="29">
        <f t="shared" si="6"/>
        <v>0</v>
      </c>
      <c r="P66" s="29">
        <f t="shared" si="7"/>
        <v>0</v>
      </c>
      <c r="Q66" s="14">
        <f>COUNTIFS(Form127_Raw!$A$2:$A$1000,$A66,Form127_Raw!$F$2:$F$1000,"&gt;=2019",Form127_Raw!$F$2:$F$1000,"&lt;=2024",Form127_Raw!$N$2:$N$1000,0)+COUNTIFS(Form127_Raw!$A$2:$A$1000,$A66,Form127_Raw!$F$2:$F$1000,"&gt;=2019",Form127_Raw!$F$2:$F$1000,"&lt;=2024",Form127_Raw!$M$2:$M$1000,0)+COUNTIFS(Form127_Raw!$A$2:$A$1000,$A66,Form127_Raw!$F$2:$F$1000,"&gt;=2019",Form127_Raw!$F$2:$F$1000,"&lt;=2024",Form127_Raw!$K$2:$K$1000,0)+COUNTIFS(Form127_Raw!$A$2:$A$1000,$A66,Form127_Raw!$F$2:$F$1000,"&gt;=2019",Form127_Raw!$F$2:$F$1000,"&lt;=2024",Form127_Raw!$L$2:$L$1000,0)+COUNTIFS(Form127_Raw!$A$2:$A$1000,$A66,Form127_Raw!$F$2:$F$1000,"&gt;=2019",Form127_Raw!$F$2:$F$1000,"&lt;=2024",Form127_Raw!$P$2:$P$1000,0)</f>
        <v>0</v>
      </c>
      <c r="R66" s="29">
        <f t="shared" si="8"/>
        <v>0</v>
      </c>
      <c r="S66" s="29">
        <f>(COUNTIFS(Form127_Raw!$A$2:$A$1000,$A66,Form127_Raw!$F$2:$F$1000,"&gt;=2019",Form127_Raw!$F$2:$F$1000,"&lt;=2024",Form127_Raw!$I$2:$I$1000,"&lt;&gt;")+COUNTIFS(Form127_Raw!$A$2:$A$1000,$A66,Form127_Raw!$F$2:$F$1000,"&gt;=2019",Form127_Raw!$F$2:$F$1000,"&lt;=2024",Form127_Raw!$J$2:$J$1000,"&lt;&gt;")+COUNTIFS(Form127_Raw!$A$2:$A$1000,$A66,Form127_Raw!$F$2:$F$1000,"&gt;=2019",Form127_Raw!$F$2:$F$1000,"&lt;=2024",Form127_Raw!$O$2:$O$1000,"&lt;&gt;")+COUNTIFS(Form127_Raw!$A$2:$A$1000,$A66,Form127_Raw!$F$2:$F$1000,"&gt;=2019",Form127_Raw!$F$2:$F$1000,"&lt;=2024",Form127_Raw!$Q$2:$Q$1000,"&lt;&gt;")+COUNTIFS(Form127_Raw!$A$2:$A$1000,$A66,Form127_Raw!$F$2:$F$1000,"&gt;=2019",Form127_Raw!$F$2:$F$1000,"&lt;=2024",Form127_Raw!$R$2:$R$1000,"&lt;&gt;"))/30</f>
        <v>0</v>
      </c>
      <c r="T66" s="14" t="str">
        <f t="shared" si="9"/>
        <v>Not Loaded</v>
      </c>
    </row>
    <row r="67" spans="1:20">
      <c r="A67" s="14" t="str">
        <f>Airport_Master!A60</f>
        <v>ANC</v>
      </c>
      <c r="B67" s="14" t="str">
        <f>Airport_Master!B60</f>
        <v>Ted Stevens Anchorage International</v>
      </c>
      <c r="C67" s="14" t="str">
        <f>Airport_Master!E60</f>
        <v>Medium</v>
      </c>
      <c r="D67" s="14">
        <f>COUNTIFS(Form127_Raw!$A$2:$A$1000,$A67,Form127_Raw!$F$2:$F$1000,"&gt;=2019",Form127_Raw!$F$2:$F$1000,"&lt;=2024")</f>
        <v>0</v>
      </c>
      <c r="E67" s="29">
        <f t="shared" si="5"/>
        <v>0</v>
      </c>
      <c r="F67" s="14">
        <f>COUNTIFS(Form127_Raw!$A$2:$A$1000,$A67,Form127_Raw!$F$2:$F$1000,"&gt;=2019",Form127_Raw!$F$2:$F$1000,"&lt;=2024",Form127_Raw!$G$2:$G$1000,"&lt;&gt;")</f>
        <v>0</v>
      </c>
      <c r="G67" s="14">
        <f>COUNTIFS(Form127_Raw!$A$2:$A$1000,$A67,Form127_Raw!$F$2:$F$1000,"&gt;=2019",Form127_Raw!$F$2:$F$1000,"&lt;=2024",Form127_Raw!$H$2:$H$1000,"&lt;&gt;")</f>
        <v>0</v>
      </c>
      <c r="H67" s="14">
        <f>COUNTIFS(Form127_Raw!$A$2:$A$1000,$A67,Form127_Raw!$F$2:$F$1000,"&gt;=2019",Form127_Raw!$F$2:$F$1000,"&lt;=2024",Form127_Raw!$S$2:$S$1000,"&lt;&gt;")</f>
        <v>0</v>
      </c>
      <c r="I67" s="14">
        <f>COUNTIFS(Form127_Raw!$A$2:$A$1000,$A67,Form127_Raw!$F$2:$F$1000,"&gt;=2019",Form127_Raw!$F$2:$F$1000,"&lt;=2024",Form127_Raw!$T$2:$T$1000,"&lt;&gt;")</f>
        <v>0</v>
      </c>
      <c r="J67" s="14">
        <f>COUNTIFS(Form127_Raw!$A$2:$A$1000,$A67,Form127_Raw!$F$2:$F$1000,"&gt;=2019",Form127_Raw!$F$2:$F$1000,"&lt;=2024",Form127_Raw!$N$2:$N$1000,"&lt;&gt;")</f>
        <v>0</v>
      </c>
      <c r="K67" s="14">
        <f>COUNTIFS(Form127_Raw!$A$2:$A$1000,$A67,Form127_Raw!$F$2:$F$1000,"&gt;=2019",Form127_Raw!$F$2:$F$1000,"&lt;=2024",Form127_Raw!$M$2:$M$1000,"&lt;&gt;")</f>
        <v>0</v>
      </c>
      <c r="L67" s="14">
        <f>COUNTIFS(Form127_Raw!$A$2:$A$1000,$A67,Form127_Raw!$F$2:$F$1000,"&gt;=2019",Form127_Raw!$F$2:$F$1000,"&lt;=2024",Form127_Raw!$K$2:$K$1000,"&lt;&gt;")</f>
        <v>0</v>
      </c>
      <c r="M67" s="14">
        <f>COUNTIFS(Form127_Raw!$A$2:$A$1000,$A67,Form127_Raw!$F$2:$F$1000,"&gt;=2019",Form127_Raw!$F$2:$F$1000,"&lt;=2024",Form127_Raw!$L$2:$L$1000,"&lt;&gt;")</f>
        <v>0</v>
      </c>
      <c r="N67" s="14">
        <f>COUNTIFS(Form127_Raw!$A$2:$A$1000,$A67,Form127_Raw!$F$2:$F$1000,"&gt;=2019",Form127_Raw!$F$2:$F$1000,"&lt;=2024",Form127_Raw!$P$2:$P$1000,"&lt;&gt;")</f>
        <v>0</v>
      </c>
      <c r="O67" s="29">
        <f t="shared" si="6"/>
        <v>0</v>
      </c>
      <c r="P67" s="29">
        <f t="shared" si="7"/>
        <v>0</v>
      </c>
      <c r="Q67" s="14">
        <f>COUNTIFS(Form127_Raw!$A$2:$A$1000,$A67,Form127_Raw!$F$2:$F$1000,"&gt;=2019",Form127_Raw!$F$2:$F$1000,"&lt;=2024",Form127_Raw!$N$2:$N$1000,0)+COUNTIFS(Form127_Raw!$A$2:$A$1000,$A67,Form127_Raw!$F$2:$F$1000,"&gt;=2019",Form127_Raw!$F$2:$F$1000,"&lt;=2024",Form127_Raw!$M$2:$M$1000,0)+COUNTIFS(Form127_Raw!$A$2:$A$1000,$A67,Form127_Raw!$F$2:$F$1000,"&gt;=2019",Form127_Raw!$F$2:$F$1000,"&lt;=2024",Form127_Raw!$K$2:$K$1000,0)+COUNTIFS(Form127_Raw!$A$2:$A$1000,$A67,Form127_Raw!$F$2:$F$1000,"&gt;=2019",Form127_Raw!$F$2:$F$1000,"&lt;=2024",Form127_Raw!$L$2:$L$1000,0)+COUNTIFS(Form127_Raw!$A$2:$A$1000,$A67,Form127_Raw!$F$2:$F$1000,"&gt;=2019",Form127_Raw!$F$2:$F$1000,"&lt;=2024",Form127_Raw!$P$2:$P$1000,0)</f>
        <v>0</v>
      </c>
      <c r="R67" s="29">
        <f t="shared" si="8"/>
        <v>0</v>
      </c>
      <c r="S67" s="29">
        <f>(COUNTIFS(Form127_Raw!$A$2:$A$1000,$A67,Form127_Raw!$F$2:$F$1000,"&gt;=2019",Form127_Raw!$F$2:$F$1000,"&lt;=2024",Form127_Raw!$I$2:$I$1000,"&lt;&gt;")+COUNTIFS(Form127_Raw!$A$2:$A$1000,$A67,Form127_Raw!$F$2:$F$1000,"&gt;=2019",Form127_Raw!$F$2:$F$1000,"&lt;=2024",Form127_Raw!$J$2:$J$1000,"&lt;&gt;")+COUNTIFS(Form127_Raw!$A$2:$A$1000,$A67,Form127_Raw!$F$2:$F$1000,"&gt;=2019",Form127_Raw!$F$2:$F$1000,"&lt;=2024",Form127_Raw!$O$2:$O$1000,"&lt;&gt;")+COUNTIFS(Form127_Raw!$A$2:$A$1000,$A67,Form127_Raw!$F$2:$F$1000,"&gt;=2019",Form127_Raw!$F$2:$F$1000,"&lt;=2024",Form127_Raw!$Q$2:$Q$1000,"&lt;&gt;")+COUNTIFS(Form127_Raw!$A$2:$A$1000,$A67,Form127_Raw!$F$2:$F$1000,"&gt;=2019",Form127_Raw!$F$2:$F$1000,"&lt;=2024",Form127_Raw!$R$2:$R$1000,"&lt;&gt;"))/30</f>
        <v>0</v>
      </c>
      <c r="T67" s="14" t="str">
        <f t="shared" si="9"/>
        <v>Not Loaded</v>
      </c>
    </row>
    <row r="68" spans="1:20">
      <c r="A68" s="14" t="str">
        <f>Airport_Master!A61</f>
        <v>ABQ</v>
      </c>
      <c r="B68" s="14" t="str">
        <f>Airport_Master!B61</f>
        <v>Albuquerque International Sunport</v>
      </c>
      <c r="C68" s="14" t="str">
        <f>Airport_Master!E61</f>
        <v>Medium</v>
      </c>
      <c r="D68" s="14">
        <f>COUNTIFS(Form127_Raw!$A$2:$A$1000,$A68,Form127_Raw!$F$2:$F$1000,"&gt;=2019",Form127_Raw!$F$2:$F$1000,"&lt;=2024")</f>
        <v>0</v>
      </c>
      <c r="E68" s="29">
        <f t="shared" si="5"/>
        <v>0</v>
      </c>
      <c r="F68" s="14">
        <f>COUNTIFS(Form127_Raw!$A$2:$A$1000,$A68,Form127_Raw!$F$2:$F$1000,"&gt;=2019",Form127_Raw!$F$2:$F$1000,"&lt;=2024",Form127_Raw!$G$2:$G$1000,"&lt;&gt;")</f>
        <v>0</v>
      </c>
      <c r="G68" s="14">
        <f>COUNTIFS(Form127_Raw!$A$2:$A$1000,$A68,Form127_Raw!$F$2:$F$1000,"&gt;=2019",Form127_Raw!$F$2:$F$1000,"&lt;=2024",Form127_Raw!$H$2:$H$1000,"&lt;&gt;")</f>
        <v>0</v>
      </c>
      <c r="H68" s="14">
        <f>COUNTIFS(Form127_Raw!$A$2:$A$1000,$A68,Form127_Raw!$F$2:$F$1000,"&gt;=2019",Form127_Raw!$F$2:$F$1000,"&lt;=2024",Form127_Raw!$S$2:$S$1000,"&lt;&gt;")</f>
        <v>0</v>
      </c>
      <c r="I68" s="14">
        <f>COUNTIFS(Form127_Raw!$A$2:$A$1000,$A68,Form127_Raw!$F$2:$F$1000,"&gt;=2019",Form127_Raw!$F$2:$F$1000,"&lt;=2024",Form127_Raw!$T$2:$T$1000,"&lt;&gt;")</f>
        <v>0</v>
      </c>
      <c r="J68" s="14">
        <f>COUNTIFS(Form127_Raw!$A$2:$A$1000,$A68,Form127_Raw!$F$2:$F$1000,"&gt;=2019",Form127_Raw!$F$2:$F$1000,"&lt;=2024",Form127_Raw!$N$2:$N$1000,"&lt;&gt;")</f>
        <v>0</v>
      </c>
      <c r="K68" s="14">
        <f>COUNTIFS(Form127_Raw!$A$2:$A$1000,$A68,Form127_Raw!$F$2:$F$1000,"&gt;=2019",Form127_Raw!$F$2:$F$1000,"&lt;=2024",Form127_Raw!$M$2:$M$1000,"&lt;&gt;")</f>
        <v>0</v>
      </c>
      <c r="L68" s="14">
        <f>COUNTIFS(Form127_Raw!$A$2:$A$1000,$A68,Form127_Raw!$F$2:$F$1000,"&gt;=2019",Form127_Raw!$F$2:$F$1000,"&lt;=2024",Form127_Raw!$K$2:$K$1000,"&lt;&gt;")</f>
        <v>0</v>
      </c>
      <c r="M68" s="14">
        <f>COUNTIFS(Form127_Raw!$A$2:$A$1000,$A68,Form127_Raw!$F$2:$F$1000,"&gt;=2019",Form127_Raw!$F$2:$F$1000,"&lt;=2024",Form127_Raw!$L$2:$L$1000,"&lt;&gt;")</f>
        <v>0</v>
      </c>
      <c r="N68" s="14">
        <f>COUNTIFS(Form127_Raw!$A$2:$A$1000,$A68,Form127_Raw!$F$2:$F$1000,"&gt;=2019",Form127_Raw!$F$2:$F$1000,"&lt;=2024",Form127_Raw!$P$2:$P$1000,"&lt;&gt;")</f>
        <v>0</v>
      </c>
      <c r="O68" s="29">
        <f t="shared" si="6"/>
        <v>0</v>
      </c>
      <c r="P68" s="29">
        <f t="shared" si="7"/>
        <v>0</v>
      </c>
      <c r="Q68" s="14">
        <f>COUNTIFS(Form127_Raw!$A$2:$A$1000,$A68,Form127_Raw!$F$2:$F$1000,"&gt;=2019",Form127_Raw!$F$2:$F$1000,"&lt;=2024",Form127_Raw!$N$2:$N$1000,0)+COUNTIFS(Form127_Raw!$A$2:$A$1000,$A68,Form127_Raw!$F$2:$F$1000,"&gt;=2019",Form127_Raw!$F$2:$F$1000,"&lt;=2024",Form127_Raw!$M$2:$M$1000,0)+COUNTIFS(Form127_Raw!$A$2:$A$1000,$A68,Form127_Raw!$F$2:$F$1000,"&gt;=2019",Form127_Raw!$F$2:$F$1000,"&lt;=2024",Form127_Raw!$K$2:$K$1000,0)+COUNTIFS(Form127_Raw!$A$2:$A$1000,$A68,Form127_Raw!$F$2:$F$1000,"&gt;=2019",Form127_Raw!$F$2:$F$1000,"&lt;=2024",Form127_Raw!$L$2:$L$1000,0)+COUNTIFS(Form127_Raw!$A$2:$A$1000,$A68,Form127_Raw!$F$2:$F$1000,"&gt;=2019",Form127_Raw!$F$2:$F$1000,"&lt;=2024",Form127_Raw!$P$2:$P$1000,0)</f>
        <v>0</v>
      </c>
      <c r="R68" s="29">
        <f t="shared" si="8"/>
        <v>0</v>
      </c>
      <c r="S68" s="29">
        <f>(COUNTIFS(Form127_Raw!$A$2:$A$1000,$A68,Form127_Raw!$F$2:$F$1000,"&gt;=2019",Form127_Raw!$F$2:$F$1000,"&lt;=2024",Form127_Raw!$I$2:$I$1000,"&lt;&gt;")+COUNTIFS(Form127_Raw!$A$2:$A$1000,$A68,Form127_Raw!$F$2:$F$1000,"&gt;=2019",Form127_Raw!$F$2:$F$1000,"&lt;=2024",Form127_Raw!$J$2:$J$1000,"&lt;&gt;")+COUNTIFS(Form127_Raw!$A$2:$A$1000,$A68,Form127_Raw!$F$2:$F$1000,"&gt;=2019",Form127_Raw!$F$2:$F$1000,"&lt;=2024",Form127_Raw!$O$2:$O$1000,"&lt;&gt;")+COUNTIFS(Form127_Raw!$A$2:$A$1000,$A68,Form127_Raw!$F$2:$F$1000,"&gt;=2019",Form127_Raw!$F$2:$F$1000,"&lt;=2024",Form127_Raw!$Q$2:$Q$1000,"&lt;&gt;")+COUNTIFS(Form127_Raw!$A$2:$A$1000,$A68,Form127_Raw!$F$2:$F$1000,"&gt;=2019",Form127_Raw!$F$2:$F$1000,"&lt;=2024",Form127_Raw!$R$2:$R$1000,"&lt;&gt;"))/30</f>
        <v>0</v>
      </c>
      <c r="T68" s="14" t="str">
        <f t="shared" si="9"/>
        <v>Not Loaded</v>
      </c>
    </row>
    <row r="69" spans="1:20">
      <c r="A69" s="14" t="str">
        <f>Airport_Master!A62</f>
        <v>OMA</v>
      </c>
      <c r="B69" s="14" t="str">
        <f>Airport_Master!B62</f>
        <v>Eppley Airfield</v>
      </c>
      <c r="C69" s="14" t="str">
        <f>Airport_Master!E62</f>
        <v>Medium</v>
      </c>
      <c r="D69" s="14">
        <f>COUNTIFS(Form127_Raw!$A$2:$A$1000,$A69,Form127_Raw!$F$2:$F$1000,"&gt;=2019",Form127_Raw!$F$2:$F$1000,"&lt;=2024")</f>
        <v>0</v>
      </c>
      <c r="E69" s="29">
        <f t="shared" si="5"/>
        <v>0</v>
      </c>
      <c r="F69" s="14">
        <f>COUNTIFS(Form127_Raw!$A$2:$A$1000,$A69,Form127_Raw!$F$2:$F$1000,"&gt;=2019",Form127_Raw!$F$2:$F$1000,"&lt;=2024",Form127_Raw!$G$2:$G$1000,"&lt;&gt;")</f>
        <v>0</v>
      </c>
      <c r="G69" s="14">
        <f>COUNTIFS(Form127_Raw!$A$2:$A$1000,$A69,Form127_Raw!$F$2:$F$1000,"&gt;=2019",Form127_Raw!$F$2:$F$1000,"&lt;=2024",Form127_Raw!$H$2:$H$1000,"&lt;&gt;")</f>
        <v>0</v>
      </c>
      <c r="H69" s="14">
        <f>COUNTIFS(Form127_Raw!$A$2:$A$1000,$A69,Form127_Raw!$F$2:$F$1000,"&gt;=2019",Form127_Raw!$F$2:$F$1000,"&lt;=2024",Form127_Raw!$S$2:$S$1000,"&lt;&gt;")</f>
        <v>0</v>
      </c>
      <c r="I69" s="14">
        <f>COUNTIFS(Form127_Raw!$A$2:$A$1000,$A69,Form127_Raw!$F$2:$F$1000,"&gt;=2019",Form127_Raw!$F$2:$F$1000,"&lt;=2024",Form127_Raw!$T$2:$T$1000,"&lt;&gt;")</f>
        <v>0</v>
      </c>
      <c r="J69" s="14">
        <f>COUNTIFS(Form127_Raw!$A$2:$A$1000,$A69,Form127_Raw!$F$2:$F$1000,"&gt;=2019",Form127_Raw!$F$2:$F$1000,"&lt;=2024",Form127_Raw!$N$2:$N$1000,"&lt;&gt;")</f>
        <v>0</v>
      </c>
      <c r="K69" s="14">
        <f>COUNTIFS(Form127_Raw!$A$2:$A$1000,$A69,Form127_Raw!$F$2:$F$1000,"&gt;=2019",Form127_Raw!$F$2:$F$1000,"&lt;=2024",Form127_Raw!$M$2:$M$1000,"&lt;&gt;")</f>
        <v>0</v>
      </c>
      <c r="L69" s="14">
        <f>COUNTIFS(Form127_Raw!$A$2:$A$1000,$A69,Form127_Raw!$F$2:$F$1000,"&gt;=2019",Form127_Raw!$F$2:$F$1000,"&lt;=2024",Form127_Raw!$K$2:$K$1000,"&lt;&gt;")</f>
        <v>0</v>
      </c>
      <c r="M69" s="14">
        <f>COUNTIFS(Form127_Raw!$A$2:$A$1000,$A69,Form127_Raw!$F$2:$F$1000,"&gt;=2019",Form127_Raw!$F$2:$F$1000,"&lt;=2024",Form127_Raw!$L$2:$L$1000,"&lt;&gt;")</f>
        <v>0</v>
      </c>
      <c r="N69" s="14">
        <f>COUNTIFS(Form127_Raw!$A$2:$A$1000,$A69,Form127_Raw!$F$2:$F$1000,"&gt;=2019",Form127_Raw!$F$2:$F$1000,"&lt;=2024",Form127_Raw!$P$2:$P$1000,"&lt;&gt;")</f>
        <v>0</v>
      </c>
      <c r="O69" s="29">
        <f t="shared" si="6"/>
        <v>0</v>
      </c>
      <c r="P69" s="29">
        <f t="shared" si="7"/>
        <v>0</v>
      </c>
      <c r="Q69" s="14">
        <f>COUNTIFS(Form127_Raw!$A$2:$A$1000,$A69,Form127_Raw!$F$2:$F$1000,"&gt;=2019",Form127_Raw!$F$2:$F$1000,"&lt;=2024",Form127_Raw!$N$2:$N$1000,0)+COUNTIFS(Form127_Raw!$A$2:$A$1000,$A69,Form127_Raw!$F$2:$F$1000,"&gt;=2019",Form127_Raw!$F$2:$F$1000,"&lt;=2024",Form127_Raw!$M$2:$M$1000,0)+COUNTIFS(Form127_Raw!$A$2:$A$1000,$A69,Form127_Raw!$F$2:$F$1000,"&gt;=2019",Form127_Raw!$F$2:$F$1000,"&lt;=2024",Form127_Raw!$K$2:$K$1000,0)+COUNTIFS(Form127_Raw!$A$2:$A$1000,$A69,Form127_Raw!$F$2:$F$1000,"&gt;=2019",Form127_Raw!$F$2:$F$1000,"&lt;=2024",Form127_Raw!$L$2:$L$1000,0)+COUNTIFS(Form127_Raw!$A$2:$A$1000,$A69,Form127_Raw!$F$2:$F$1000,"&gt;=2019",Form127_Raw!$F$2:$F$1000,"&lt;=2024",Form127_Raw!$P$2:$P$1000,0)</f>
        <v>0</v>
      </c>
      <c r="R69" s="29">
        <f t="shared" si="8"/>
        <v>0</v>
      </c>
      <c r="S69" s="29">
        <f>(COUNTIFS(Form127_Raw!$A$2:$A$1000,$A69,Form127_Raw!$F$2:$F$1000,"&gt;=2019",Form127_Raw!$F$2:$F$1000,"&lt;=2024",Form127_Raw!$I$2:$I$1000,"&lt;&gt;")+COUNTIFS(Form127_Raw!$A$2:$A$1000,$A69,Form127_Raw!$F$2:$F$1000,"&gt;=2019",Form127_Raw!$F$2:$F$1000,"&lt;=2024",Form127_Raw!$J$2:$J$1000,"&lt;&gt;")+COUNTIFS(Form127_Raw!$A$2:$A$1000,$A69,Form127_Raw!$F$2:$F$1000,"&gt;=2019",Form127_Raw!$F$2:$F$1000,"&lt;=2024",Form127_Raw!$O$2:$O$1000,"&lt;&gt;")+COUNTIFS(Form127_Raw!$A$2:$A$1000,$A69,Form127_Raw!$F$2:$F$1000,"&gt;=2019",Form127_Raw!$F$2:$F$1000,"&lt;=2024",Form127_Raw!$Q$2:$Q$1000,"&lt;&gt;")+COUNTIFS(Form127_Raw!$A$2:$A$1000,$A69,Form127_Raw!$F$2:$F$1000,"&gt;=2019",Form127_Raw!$F$2:$F$1000,"&lt;=2024",Form127_Raw!$R$2:$R$1000,"&lt;&gt;"))/30</f>
        <v>0</v>
      </c>
      <c r="T69" s="14" t="str">
        <f t="shared" si="9"/>
        <v>Not Loaded</v>
      </c>
    </row>
    <row r="70" spans="1:20">
      <c r="A70" s="14" t="str">
        <f>Airport_Master!A63</f>
        <v>BUF</v>
      </c>
      <c r="B70" s="14" t="str">
        <f>Airport_Master!B63</f>
        <v>Buffalo Niagara International</v>
      </c>
      <c r="C70" s="14" t="str">
        <f>Airport_Master!E63</f>
        <v>Medium</v>
      </c>
      <c r="D70" s="14">
        <f>COUNTIFS(Form127_Raw!$A$2:$A$1000,$A70,Form127_Raw!$F$2:$F$1000,"&gt;=2019",Form127_Raw!$F$2:$F$1000,"&lt;=2024")</f>
        <v>0</v>
      </c>
      <c r="E70" s="29">
        <f t="shared" si="5"/>
        <v>0</v>
      </c>
      <c r="F70" s="14">
        <f>COUNTIFS(Form127_Raw!$A$2:$A$1000,$A70,Form127_Raw!$F$2:$F$1000,"&gt;=2019",Form127_Raw!$F$2:$F$1000,"&lt;=2024",Form127_Raw!$G$2:$G$1000,"&lt;&gt;")</f>
        <v>0</v>
      </c>
      <c r="G70" s="14">
        <f>COUNTIFS(Form127_Raw!$A$2:$A$1000,$A70,Form127_Raw!$F$2:$F$1000,"&gt;=2019",Form127_Raw!$F$2:$F$1000,"&lt;=2024",Form127_Raw!$H$2:$H$1000,"&lt;&gt;")</f>
        <v>0</v>
      </c>
      <c r="H70" s="14">
        <f>COUNTIFS(Form127_Raw!$A$2:$A$1000,$A70,Form127_Raw!$F$2:$F$1000,"&gt;=2019",Form127_Raw!$F$2:$F$1000,"&lt;=2024",Form127_Raw!$S$2:$S$1000,"&lt;&gt;")</f>
        <v>0</v>
      </c>
      <c r="I70" s="14">
        <f>COUNTIFS(Form127_Raw!$A$2:$A$1000,$A70,Form127_Raw!$F$2:$F$1000,"&gt;=2019",Form127_Raw!$F$2:$F$1000,"&lt;=2024",Form127_Raw!$T$2:$T$1000,"&lt;&gt;")</f>
        <v>0</v>
      </c>
      <c r="J70" s="14">
        <f>COUNTIFS(Form127_Raw!$A$2:$A$1000,$A70,Form127_Raw!$F$2:$F$1000,"&gt;=2019",Form127_Raw!$F$2:$F$1000,"&lt;=2024",Form127_Raw!$N$2:$N$1000,"&lt;&gt;")</f>
        <v>0</v>
      </c>
      <c r="K70" s="14">
        <f>COUNTIFS(Form127_Raw!$A$2:$A$1000,$A70,Form127_Raw!$F$2:$F$1000,"&gt;=2019",Form127_Raw!$F$2:$F$1000,"&lt;=2024",Form127_Raw!$M$2:$M$1000,"&lt;&gt;")</f>
        <v>0</v>
      </c>
      <c r="L70" s="14">
        <f>COUNTIFS(Form127_Raw!$A$2:$A$1000,$A70,Form127_Raw!$F$2:$F$1000,"&gt;=2019",Form127_Raw!$F$2:$F$1000,"&lt;=2024",Form127_Raw!$K$2:$K$1000,"&lt;&gt;")</f>
        <v>0</v>
      </c>
      <c r="M70" s="14">
        <f>COUNTIFS(Form127_Raw!$A$2:$A$1000,$A70,Form127_Raw!$F$2:$F$1000,"&gt;=2019",Form127_Raw!$F$2:$F$1000,"&lt;=2024",Form127_Raw!$L$2:$L$1000,"&lt;&gt;")</f>
        <v>0</v>
      </c>
      <c r="N70" s="14">
        <f>COUNTIFS(Form127_Raw!$A$2:$A$1000,$A70,Form127_Raw!$F$2:$F$1000,"&gt;=2019",Form127_Raw!$F$2:$F$1000,"&lt;=2024",Form127_Raw!$P$2:$P$1000,"&lt;&gt;")</f>
        <v>0</v>
      </c>
      <c r="O70" s="29">
        <f t="shared" si="6"/>
        <v>0</v>
      </c>
      <c r="P70" s="29">
        <f t="shared" si="7"/>
        <v>0</v>
      </c>
      <c r="Q70" s="14">
        <f>COUNTIFS(Form127_Raw!$A$2:$A$1000,$A70,Form127_Raw!$F$2:$F$1000,"&gt;=2019",Form127_Raw!$F$2:$F$1000,"&lt;=2024",Form127_Raw!$N$2:$N$1000,0)+COUNTIFS(Form127_Raw!$A$2:$A$1000,$A70,Form127_Raw!$F$2:$F$1000,"&gt;=2019",Form127_Raw!$F$2:$F$1000,"&lt;=2024",Form127_Raw!$M$2:$M$1000,0)+COUNTIFS(Form127_Raw!$A$2:$A$1000,$A70,Form127_Raw!$F$2:$F$1000,"&gt;=2019",Form127_Raw!$F$2:$F$1000,"&lt;=2024",Form127_Raw!$K$2:$K$1000,0)+COUNTIFS(Form127_Raw!$A$2:$A$1000,$A70,Form127_Raw!$F$2:$F$1000,"&gt;=2019",Form127_Raw!$F$2:$F$1000,"&lt;=2024",Form127_Raw!$L$2:$L$1000,0)+COUNTIFS(Form127_Raw!$A$2:$A$1000,$A70,Form127_Raw!$F$2:$F$1000,"&gt;=2019",Form127_Raw!$F$2:$F$1000,"&lt;=2024",Form127_Raw!$P$2:$P$1000,0)</f>
        <v>0</v>
      </c>
      <c r="R70" s="29">
        <f t="shared" si="8"/>
        <v>0</v>
      </c>
      <c r="S70" s="29">
        <f>(COUNTIFS(Form127_Raw!$A$2:$A$1000,$A70,Form127_Raw!$F$2:$F$1000,"&gt;=2019",Form127_Raw!$F$2:$F$1000,"&lt;=2024",Form127_Raw!$I$2:$I$1000,"&lt;&gt;")+COUNTIFS(Form127_Raw!$A$2:$A$1000,$A70,Form127_Raw!$F$2:$F$1000,"&gt;=2019",Form127_Raw!$F$2:$F$1000,"&lt;=2024",Form127_Raw!$J$2:$J$1000,"&lt;&gt;")+COUNTIFS(Form127_Raw!$A$2:$A$1000,$A70,Form127_Raw!$F$2:$F$1000,"&gt;=2019",Form127_Raw!$F$2:$F$1000,"&lt;=2024",Form127_Raw!$O$2:$O$1000,"&lt;&gt;")+COUNTIFS(Form127_Raw!$A$2:$A$1000,$A70,Form127_Raw!$F$2:$F$1000,"&gt;=2019",Form127_Raw!$F$2:$F$1000,"&lt;=2024",Form127_Raw!$Q$2:$Q$1000,"&lt;&gt;")+COUNTIFS(Form127_Raw!$A$2:$A$1000,$A70,Form127_Raw!$F$2:$F$1000,"&gt;=2019",Form127_Raw!$F$2:$F$1000,"&lt;=2024",Form127_Raw!$R$2:$R$1000,"&lt;&gt;"))/30</f>
        <v>0</v>
      </c>
      <c r="T70" s="14" t="str">
        <f t="shared" si="9"/>
        <v>Not Loaded</v>
      </c>
    </row>
    <row r="71" spans="1:20">
      <c r="A71" s="14" t="str">
        <f>Airport_Master!A64</f>
        <v>BOI</v>
      </c>
      <c r="B71" s="14" t="str">
        <f>Airport_Master!B64</f>
        <v>Boise Air Trml/Gowen Field</v>
      </c>
      <c r="C71" s="14" t="str">
        <f>Airport_Master!E64</f>
        <v>Medium</v>
      </c>
      <c r="D71" s="14">
        <f>COUNTIFS(Form127_Raw!$A$2:$A$1000,$A71,Form127_Raw!$F$2:$F$1000,"&gt;=2019",Form127_Raw!$F$2:$F$1000,"&lt;=2024")</f>
        <v>0</v>
      </c>
      <c r="E71" s="29">
        <f t="shared" si="5"/>
        <v>0</v>
      </c>
      <c r="F71" s="14">
        <f>COUNTIFS(Form127_Raw!$A$2:$A$1000,$A71,Form127_Raw!$F$2:$F$1000,"&gt;=2019",Form127_Raw!$F$2:$F$1000,"&lt;=2024",Form127_Raw!$G$2:$G$1000,"&lt;&gt;")</f>
        <v>0</v>
      </c>
      <c r="G71" s="14">
        <f>COUNTIFS(Form127_Raw!$A$2:$A$1000,$A71,Form127_Raw!$F$2:$F$1000,"&gt;=2019",Form127_Raw!$F$2:$F$1000,"&lt;=2024",Form127_Raw!$H$2:$H$1000,"&lt;&gt;")</f>
        <v>0</v>
      </c>
      <c r="H71" s="14">
        <f>COUNTIFS(Form127_Raw!$A$2:$A$1000,$A71,Form127_Raw!$F$2:$F$1000,"&gt;=2019",Form127_Raw!$F$2:$F$1000,"&lt;=2024",Form127_Raw!$S$2:$S$1000,"&lt;&gt;")</f>
        <v>0</v>
      </c>
      <c r="I71" s="14">
        <f>COUNTIFS(Form127_Raw!$A$2:$A$1000,$A71,Form127_Raw!$F$2:$F$1000,"&gt;=2019",Form127_Raw!$F$2:$F$1000,"&lt;=2024",Form127_Raw!$T$2:$T$1000,"&lt;&gt;")</f>
        <v>0</v>
      </c>
      <c r="J71" s="14">
        <f>COUNTIFS(Form127_Raw!$A$2:$A$1000,$A71,Form127_Raw!$F$2:$F$1000,"&gt;=2019",Form127_Raw!$F$2:$F$1000,"&lt;=2024",Form127_Raw!$N$2:$N$1000,"&lt;&gt;")</f>
        <v>0</v>
      </c>
      <c r="K71" s="14">
        <f>COUNTIFS(Form127_Raw!$A$2:$A$1000,$A71,Form127_Raw!$F$2:$F$1000,"&gt;=2019",Form127_Raw!$F$2:$F$1000,"&lt;=2024",Form127_Raw!$M$2:$M$1000,"&lt;&gt;")</f>
        <v>0</v>
      </c>
      <c r="L71" s="14">
        <f>COUNTIFS(Form127_Raw!$A$2:$A$1000,$A71,Form127_Raw!$F$2:$F$1000,"&gt;=2019",Form127_Raw!$F$2:$F$1000,"&lt;=2024",Form127_Raw!$K$2:$K$1000,"&lt;&gt;")</f>
        <v>0</v>
      </c>
      <c r="M71" s="14">
        <f>COUNTIFS(Form127_Raw!$A$2:$A$1000,$A71,Form127_Raw!$F$2:$F$1000,"&gt;=2019",Form127_Raw!$F$2:$F$1000,"&lt;=2024",Form127_Raw!$L$2:$L$1000,"&lt;&gt;")</f>
        <v>0</v>
      </c>
      <c r="N71" s="14">
        <f>COUNTIFS(Form127_Raw!$A$2:$A$1000,$A71,Form127_Raw!$F$2:$F$1000,"&gt;=2019",Form127_Raw!$F$2:$F$1000,"&lt;=2024",Form127_Raw!$P$2:$P$1000,"&lt;&gt;")</f>
        <v>0</v>
      </c>
      <c r="O71" s="29">
        <f t="shared" si="6"/>
        <v>0</v>
      </c>
      <c r="P71" s="29">
        <f t="shared" si="7"/>
        <v>0</v>
      </c>
      <c r="Q71" s="14">
        <f>COUNTIFS(Form127_Raw!$A$2:$A$1000,$A71,Form127_Raw!$F$2:$F$1000,"&gt;=2019",Form127_Raw!$F$2:$F$1000,"&lt;=2024",Form127_Raw!$N$2:$N$1000,0)+COUNTIFS(Form127_Raw!$A$2:$A$1000,$A71,Form127_Raw!$F$2:$F$1000,"&gt;=2019",Form127_Raw!$F$2:$F$1000,"&lt;=2024",Form127_Raw!$M$2:$M$1000,0)+COUNTIFS(Form127_Raw!$A$2:$A$1000,$A71,Form127_Raw!$F$2:$F$1000,"&gt;=2019",Form127_Raw!$F$2:$F$1000,"&lt;=2024",Form127_Raw!$K$2:$K$1000,0)+COUNTIFS(Form127_Raw!$A$2:$A$1000,$A71,Form127_Raw!$F$2:$F$1000,"&gt;=2019",Form127_Raw!$F$2:$F$1000,"&lt;=2024",Form127_Raw!$L$2:$L$1000,0)+COUNTIFS(Form127_Raw!$A$2:$A$1000,$A71,Form127_Raw!$F$2:$F$1000,"&gt;=2019",Form127_Raw!$F$2:$F$1000,"&lt;=2024",Form127_Raw!$P$2:$P$1000,0)</f>
        <v>0</v>
      </c>
      <c r="R71" s="29">
        <f t="shared" si="8"/>
        <v>0</v>
      </c>
      <c r="S71" s="29">
        <f>(COUNTIFS(Form127_Raw!$A$2:$A$1000,$A71,Form127_Raw!$F$2:$F$1000,"&gt;=2019",Form127_Raw!$F$2:$F$1000,"&lt;=2024",Form127_Raw!$I$2:$I$1000,"&lt;&gt;")+COUNTIFS(Form127_Raw!$A$2:$A$1000,$A71,Form127_Raw!$F$2:$F$1000,"&gt;=2019",Form127_Raw!$F$2:$F$1000,"&lt;=2024",Form127_Raw!$J$2:$J$1000,"&lt;&gt;")+COUNTIFS(Form127_Raw!$A$2:$A$1000,$A71,Form127_Raw!$F$2:$F$1000,"&gt;=2019",Form127_Raw!$F$2:$F$1000,"&lt;=2024",Form127_Raw!$O$2:$O$1000,"&lt;&gt;")+COUNTIFS(Form127_Raw!$A$2:$A$1000,$A71,Form127_Raw!$F$2:$F$1000,"&gt;=2019",Form127_Raw!$F$2:$F$1000,"&lt;=2024",Form127_Raw!$Q$2:$Q$1000,"&lt;&gt;")+COUNTIFS(Form127_Raw!$A$2:$A$1000,$A71,Form127_Raw!$F$2:$F$1000,"&gt;=2019",Form127_Raw!$F$2:$F$1000,"&lt;=2024",Form127_Raw!$R$2:$R$1000,"&lt;&gt;"))/30</f>
        <v>0</v>
      </c>
      <c r="T71" s="14" t="str">
        <f t="shared" si="9"/>
        <v>Not Loaded</v>
      </c>
    </row>
    <row r="74" spans="1:20">
      <c r="A74" s="22" t="s">
        <v>538</v>
      </c>
      <c r="B74" s="22" t="s">
        <v>539</v>
      </c>
      <c r="C74" s="22" t="s">
        <v>540</v>
      </c>
      <c r="D74" s="22" t="s">
        <v>541</v>
      </c>
      <c r="E74" s="22" t="s">
        <v>542</v>
      </c>
      <c r="F74" s="22" t="s">
        <v>543</v>
      </c>
    </row>
    <row r="75" spans="1:20">
      <c r="A75" s="6" t="s">
        <v>287</v>
      </c>
      <c r="B75" s="6" t="s">
        <v>544</v>
      </c>
      <c r="C75" s="6" t="s">
        <v>545</v>
      </c>
      <c r="D75" s="6" t="s">
        <v>546</v>
      </c>
      <c r="E75" s="6" t="s">
        <v>547</v>
      </c>
      <c r="F75" s="6" t="s">
        <v>548</v>
      </c>
    </row>
    <row r="76" spans="1:20">
      <c r="A76" s="6" t="s">
        <v>549</v>
      </c>
      <c r="B76" s="6" t="s">
        <v>550</v>
      </c>
      <c r="C76" s="6" t="s">
        <v>551</v>
      </c>
      <c r="D76" s="6" t="s">
        <v>552</v>
      </c>
      <c r="E76" s="6" t="s">
        <v>553</v>
      </c>
      <c r="F76" s="6" t="s">
        <v>554</v>
      </c>
    </row>
    <row r="77" spans="1:20">
      <c r="A77" s="6" t="s">
        <v>555</v>
      </c>
      <c r="B77" s="6" t="s">
        <v>556</v>
      </c>
      <c r="C77" s="6" t="s">
        <v>557</v>
      </c>
      <c r="D77" s="6" t="s">
        <v>558</v>
      </c>
      <c r="E77" s="6" t="s">
        <v>553</v>
      </c>
      <c r="F77" s="6" t="s">
        <v>559</v>
      </c>
    </row>
    <row r="78" spans="1:20" ht="28">
      <c r="A78" s="6" t="s">
        <v>560</v>
      </c>
      <c r="B78" s="6" t="s">
        <v>561</v>
      </c>
      <c r="C78" s="6" t="s">
        <v>562</v>
      </c>
      <c r="D78" s="6" t="s">
        <v>563</v>
      </c>
      <c r="E78" s="6" t="s">
        <v>564</v>
      </c>
      <c r="F78" s="6" t="s">
        <v>565</v>
      </c>
    </row>
  </sheetData>
  <mergeCells count="2">
    <mergeCell ref="A1:T1"/>
    <mergeCell ref="A2:T2"/>
  </mergeCells>
  <conditionalFormatting sqref="R9:R71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S9:S71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T9:T71">
    <cfRule type="expression" dxfId="17" priority="3">
      <formula>LEFT(T9,9)="Excellent"</formula>
    </cfRule>
    <cfRule type="expression" dxfId="16" priority="4">
      <formula>LEFT(T9,4)="Good"</formula>
    </cfRule>
    <cfRule type="expression" dxfId="15" priority="5">
      <formula>LEFT(T9,6)="Manual"</formula>
    </cfRule>
    <cfRule type="expression" dxfId="14" priority="6">
      <formula>LEFT(T9,7)="Exclude"</formula>
    </cfRule>
  </conditionalFormatting>
  <conditionalFormatting sqref="Q9:Q71">
    <cfRule type="cellIs" dxfId="13" priority="7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6"/>
  <sheetViews>
    <sheetView workbookViewId="0"/>
  </sheetViews>
  <sheetFormatPr defaultRowHeight="14"/>
  <cols>
    <col min="1" max="1" width="12" customWidth="1"/>
    <col min="2" max="2" width="42" customWidth="1"/>
    <col min="3" max="3" width="11" customWidth="1"/>
    <col min="4" max="4" width="14" customWidth="1"/>
    <col min="5" max="5" width="22" customWidth="1"/>
    <col min="6" max="6" width="12" customWidth="1"/>
    <col min="7" max="7" width="17" customWidth="1"/>
    <col min="8" max="8" width="32" customWidth="1"/>
  </cols>
  <sheetData>
    <row r="1" spans="1:8" ht="28">
      <c r="A1" s="30" t="s">
        <v>0</v>
      </c>
      <c r="B1" s="30" t="s">
        <v>1</v>
      </c>
      <c r="C1" s="30" t="s">
        <v>4</v>
      </c>
      <c r="D1" s="30" t="s">
        <v>480</v>
      </c>
      <c r="E1" s="30" t="s">
        <v>535</v>
      </c>
      <c r="F1" s="30" t="s">
        <v>566</v>
      </c>
      <c r="G1" s="30" t="s">
        <v>567</v>
      </c>
      <c r="H1" s="30" t="s">
        <v>268</v>
      </c>
    </row>
    <row r="2" spans="1:8">
      <c r="A2" s="6" t="str">
        <f>"ATL"</f>
        <v>ATL</v>
      </c>
      <c r="B2" s="6" t="str">
        <f>IFERROR(INDEX(Data_Quality!$B$9:$B$71,MATCH(A2,Data_Quality!$A$9:$A$71,0)),"")</f>
        <v>Hartsfield/Jackson Atlanta International</v>
      </c>
      <c r="C2" s="6" t="str">
        <f>IFERROR(INDEX(Data_Quality!$C$9:$C$71,MATCH(A2,Data_Quality!$A$9:$A$71,0)),"")</f>
        <v>Large</v>
      </c>
      <c r="D2" s="6">
        <f>IFERROR(INDEX(Data_Quality!$D$9:$D$71,MATCH(A2,Data_Quality!$A$9:$A$71,0)),0)</f>
        <v>6</v>
      </c>
      <c r="E2" s="23">
        <f>IFERROR(INDEX(Data_Quality!$R$9:$R$71,MATCH(A2,Data_Quality!$A$9:$A$71,0)),0)</f>
        <v>1</v>
      </c>
      <c r="F2" s="6">
        <f>IFERROR(INDEX(Data_Quality!$Q$9:$Q$71,MATCH(A2,Data_Quality!$A$9:$A$71,0)),0)</f>
        <v>0</v>
      </c>
      <c r="G2" s="23">
        <f>IFERROR(INDEX(Data_Quality!$S$9:$S$71,MATCH(A2,Data_Quality!$A$9:$A$71,0)),0)</f>
        <v>0</v>
      </c>
      <c r="H2" s="6" t="str">
        <f>IFERROR(INDEX(Data_Quality!$T$9:$T$71,MATCH(A2,Data_Quality!$A$9:$A$71,0)),"")</f>
        <v>Excellent - FAA Backfill Pending</v>
      </c>
    </row>
    <row r="3" spans="1:8">
      <c r="A3" s="6" t="str">
        <f>"DFW"</f>
        <v>DFW</v>
      </c>
      <c r="B3" s="6" t="str">
        <f>IFERROR(INDEX(Data_Quality!$B$9:$B$71,MATCH(A3,Data_Quality!$A$9:$A$71,0)),"")</f>
        <v>Dallas-Fort Worth International</v>
      </c>
      <c r="C3" s="6" t="str">
        <f>IFERROR(INDEX(Data_Quality!$C$9:$C$71,MATCH(A3,Data_Quality!$A$9:$A$71,0)),"")</f>
        <v>Large</v>
      </c>
      <c r="D3" s="6">
        <f>IFERROR(INDEX(Data_Quality!$D$9:$D$71,MATCH(A3,Data_Quality!$A$9:$A$71,0)),0)</f>
        <v>6</v>
      </c>
      <c r="E3" s="23">
        <f>IFERROR(INDEX(Data_Quality!$R$9:$R$71,MATCH(A3,Data_Quality!$A$9:$A$71,0)),0)</f>
        <v>1</v>
      </c>
      <c r="F3" s="6">
        <f>IFERROR(INDEX(Data_Quality!$Q$9:$Q$71,MATCH(A3,Data_Quality!$A$9:$A$71,0)),0)</f>
        <v>0</v>
      </c>
      <c r="G3" s="23">
        <f>IFERROR(INDEX(Data_Quality!$S$9:$S$71,MATCH(A3,Data_Quality!$A$9:$A$71,0)),0)</f>
        <v>0</v>
      </c>
      <c r="H3" s="6" t="str">
        <f>IFERROR(INDEX(Data_Quality!$T$9:$T$71,MATCH(A3,Data_Quality!$A$9:$A$71,0)),"")</f>
        <v>Excellent - FAA Backfill Pending</v>
      </c>
    </row>
    <row r="4" spans="1:8">
      <c r="A4" s="6" t="str">
        <f>"LAX"</f>
        <v>LAX</v>
      </c>
      <c r="B4" s="6" t="str">
        <f>IFERROR(INDEX(Data_Quality!$B$9:$B$71,MATCH(A4,Data_Quality!$A$9:$A$71,0)),"")</f>
        <v>Los Angeles International</v>
      </c>
      <c r="C4" s="6" t="str">
        <f>IFERROR(INDEX(Data_Quality!$C$9:$C$71,MATCH(A4,Data_Quality!$A$9:$A$71,0)),"")</f>
        <v>Large</v>
      </c>
      <c r="D4" s="6">
        <f>IFERROR(INDEX(Data_Quality!$D$9:$D$71,MATCH(A4,Data_Quality!$A$9:$A$71,0)),0)</f>
        <v>6</v>
      </c>
      <c r="E4" s="23">
        <f>IFERROR(INDEX(Data_Quality!$R$9:$R$71,MATCH(A4,Data_Quality!$A$9:$A$71,0)),0)</f>
        <v>1</v>
      </c>
      <c r="F4" s="6">
        <f>IFERROR(INDEX(Data_Quality!$Q$9:$Q$71,MATCH(A4,Data_Quality!$A$9:$A$71,0)),0)</f>
        <v>0</v>
      </c>
      <c r="G4" s="23">
        <f>IFERROR(INDEX(Data_Quality!$S$9:$S$71,MATCH(A4,Data_Quality!$A$9:$A$71,0)),0)</f>
        <v>0</v>
      </c>
      <c r="H4" s="6" t="str">
        <f>IFERROR(INDEX(Data_Quality!$T$9:$T$71,MATCH(A4,Data_Quality!$A$9:$A$71,0)),"")</f>
        <v>Excellent - FAA Backfill Pending</v>
      </c>
    </row>
    <row r="5" spans="1:8">
      <c r="A5" s="6" t="str">
        <f>"SEA"</f>
        <v>SEA</v>
      </c>
      <c r="B5" s="6" t="str">
        <f>IFERROR(INDEX(Data_Quality!$B$9:$B$71,MATCH(A5,Data_Quality!$A$9:$A$71,0)),"")</f>
        <v>Seattle-Tacoma International</v>
      </c>
      <c r="C5" s="6" t="str">
        <f>IFERROR(INDEX(Data_Quality!$C$9:$C$71,MATCH(A5,Data_Quality!$A$9:$A$71,0)),"")</f>
        <v>Large</v>
      </c>
      <c r="D5" s="6">
        <f>IFERROR(INDEX(Data_Quality!$D$9:$D$71,MATCH(A5,Data_Quality!$A$9:$A$71,0)),0)</f>
        <v>6</v>
      </c>
      <c r="E5" s="23">
        <f>IFERROR(INDEX(Data_Quality!$R$9:$R$71,MATCH(A5,Data_Quality!$A$9:$A$71,0)),0)</f>
        <v>1</v>
      </c>
      <c r="F5" s="6">
        <f>IFERROR(INDEX(Data_Quality!$Q$9:$Q$71,MATCH(A5,Data_Quality!$A$9:$A$71,0)),0)</f>
        <v>0</v>
      </c>
      <c r="G5" s="23">
        <f>IFERROR(INDEX(Data_Quality!$S$9:$S$71,MATCH(A5,Data_Quality!$A$9:$A$71,0)),0)</f>
        <v>0</v>
      </c>
      <c r="H5" s="6" t="str">
        <f>IFERROR(INDEX(Data_Quality!$T$9:$T$71,MATCH(A5,Data_Quality!$A$9:$A$71,0)),"")</f>
        <v>Excellent - FAA Backfill Pending</v>
      </c>
    </row>
    <row r="6" spans="1:8">
      <c r="A6" s="6" t="str">
        <f>"CLE"</f>
        <v>CLE</v>
      </c>
      <c r="B6" s="6" t="str">
        <f>IFERROR(INDEX(Data_Quality!$B$9:$B$71,MATCH(A6,Data_Quality!$A$9:$A$71,0)),"")</f>
        <v>Cleveland-Hopkins International</v>
      </c>
      <c r="C6" s="6" t="str">
        <f>IFERROR(INDEX(Data_Quality!$C$9:$C$71,MATCH(A6,Data_Quality!$A$9:$A$71,0)),"")</f>
        <v>Medium</v>
      </c>
      <c r="D6" s="6">
        <f>IFERROR(INDEX(Data_Quality!$D$9:$D$71,MATCH(A6,Data_Quality!$A$9:$A$71,0)),0)</f>
        <v>6</v>
      </c>
      <c r="E6" s="23">
        <f>IFERROR(INDEX(Data_Quality!$R$9:$R$71,MATCH(A6,Data_Quality!$A$9:$A$71,0)),0)</f>
        <v>1</v>
      </c>
      <c r="F6" s="6">
        <f>IFERROR(INDEX(Data_Quality!$Q$9:$Q$71,MATCH(A6,Data_Quality!$A$9:$A$71,0)),0)</f>
        <v>0</v>
      </c>
      <c r="G6" s="23">
        <f>IFERROR(INDEX(Data_Quality!$S$9:$S$71,MATCH(A6,Data_Quality!$A$9:$A$71,0)),0)</f>
        <v>0</v>
      </c>
      <c r="H6" s="6" t="str">
        <f>IFERROR(INDEX(Data_Quality!$T$9:$T$71,MATCH(A6,Data_Quality!$A$9:$A$71,0)),"")</f>
        <v>Excellent - FAA Backfill Pending</v>
      </c>
    </row>
    <row r="7" spans="1:8">
      <c r="A7" s="6" t="str">
        <f>"DEN"</f>
        <v>DEN</v>
      </c>
      <c r="B7" s="6" t="str">
        <f>IFERROR(INDEX(Data_Quality!$B$9:$B$71,MATCH(A7,Data_Quality!$A$9:$A$71,0)),"")</f>
        <v>Denver International</v>
      </c>
      <c r="C7" s="6" t="str">
        <f>IFERROR(INDEX(Data_Quality!$C$9:$C$71,MATCH(A7,Data_Quality!$A$9:$A$71,0)),"")</f>
        <v>Large</v>
      </c>
      <c r="D7" s="6">
        <f>IFERROR(INDEX(Data_Quality!$D$9:$D$71,MATCH(A7,Data_Quality!$A$9:$A$71,0)),0)</f>
        <v>6</v>
      </c>
      <c r="E7" s="23">
        <f>IFERROR(INDEX(Data_Quality!$R$9:$R$71,MATCH(A7,Data_Quality!$A$9:$A$71,0)),0)</f>
        <v>1</v>
      </c>
      <c r="F7" s="6">
        <f>IFERROR(INDEX(Data_Quality!$Q$9:$Q$71,MATCH(A7,Data_Quality!$A$9:$A$71,0)),0)</f>
        <v>0</v>
      </c>
      <c r="G7" s="23">
        <f>IFERROR(INDEX(Data_Quality!$S$9:$S$71,MATCH(A7,Data_Quality!$A$9:$A$71,0)),0)</f>
        <v>0</v>
      </c>
      <c r="H7" s="6" t="str">
        <f>IFERROR(INDEX(Data_Quality!$T$9:$T$71,MATCH(A7,Data_Quality!$A$9:$A$71,0)),"")</f>
        <v>Excellent - FAA Backfill Pending</v>
      </c>
    </row>
    <row r="8" spans="1:8">
      <c r="A8" s="6" t="str">
        <f>"ORD"</f>
        <v>ORD</v>
      </c>
      <c r="B8" s="6" t="str">
        <f>IFERROR(INDEX(Data_Quality!$B$9:$B$71,MATCH(A8,Data_Quality!$A$9:$A$71,0)),"")</f>
        <v>Chicago O'Hare International</v>
      </c>
      <c r="C8" s="6" t="str">
        <f>IFERROR(INDEX(Data_Quality!$C$9:$C$71,MATCH(A8,Data_Quality!$A$9:$A$71,0)),"")</f>
        <v>Large</v>
      </c>
      <c r="D8" s="6">
        <f>IFERROR(INDEX(Data_Quality!$D$9:$D$71,MATCH(A8,Data_Quality!$A$9:$A$71,0)),0)</f>
        <v>6</v>
      </c>
      <c r="E8" s="23">
        <f>IFERROR(INDEX(Data_Quality!$R$9:$R$71,MATCH(A8,Data_Quality!$A$9:$A$71,0)),0)</f>
        <v>1</v>
      </c>
      <c r="F8" s="6">
        <f>IFERROR(INDEX(Data_Quality!$Q$9:$Q$71,MATCH(A8,Data_Quality!$A$9:$A$71,0)),0)</f>
        <v>0</v>
      </c>
      <c r="G8" s="23">
        <f>IFERROR(INDEX(Data_Quality!$S$9:$S$71,MATCH(A8,Data_Quality!$A$9:$A$71,0)),0)</f>
        <v>0</v>
      </c>
      <c r="H8" s="6" t="str">
        <f>IFERROR(INDEX(Data_Quality!$T$9:$T$71,MATCH(A8,Data_Quality!$A$9:$A$71,0)),"")</f>
        <v>Excellent - FAA Backfill Pending</v>
      </c>
    </row>
    <row r="9" spans="1:8">
      <c r="A9" s="6" t="str">
        <f>"LAS"</f>
        <v>LAS</v>
      </c>
      <c r="B9" s="6" t="str">
        <f>IFERROR(INDEX(Data_Quality!$B$9:$B$71,MATCH(A9,Data_Quality!$A$9:$A$71,0)),"")</f>
        <v>Harry Reid International</v>
      </c>
      <c r="C9" s="6" t="str">
        <f>IFERROR(INDEX(Data_Quality!$C$9:$C$71,MATCH(A9,Data_Quality!$A$9:$A$71,0)),"")</f>
        <v>Large</v>
      </c>
      <c r="D9" s="6">
        <f>IFERROR(INDEX(Data_Quality!$D$9:$D$71,MATCH(A9,Data_Quality!$A$9:$A$71,0)),0)</f>
        <v>6</v>
      </c>
      <c r="E9" s="23">
        <f>IFERROR(INDEX(Data_Quality!$R$9:$R$71,MATCH(A9,Data_Quality!$A$9:$A$71,0)),0)</f>
        <v>1</v>
      </c>
      <c r="F9" s="6">
        <f>IFERROR(INDEX(Data_Quality!$Q$9:$Q$71,MATCH(A9,Data_Quality!$A$9:$A$71,0)),0)</f>
        <v>0</v>
      </c>
      <c r="G9" s="23">
        <f>IFERROR(INDEX(Data_Quality!$S$9:$S$71,MATCH(A9,Data_Quality!$A$9:$A$71,0)),0)</f>
        <v>0</v>
      </c>
      <c r="H9" s="6" t="str">
        <f>IFERROR(INDEX(Data_Quality!$T$9:$T$71,MATCH(A9,Data_Quality!$A$9:$A$71,0)),"")</f>
        <v>Excellent - FAA Backfill Pending</v>
      </c>
    </row>
    <row r="10" spans="1:8">
      <c r="A10" s="6" t="str">
        <f>"PHX"</f>
        <v>PHX</v>
      </c>
      <c r="B10" s="6" t="str">
        <f>IFERROR(INDEX(Data_Quality!$B$9:$B$71,MATCH(A10,Data_Quality!$A$9:$A$71,0)),"")</f>
        <v>Phoenix Sky Harbor International</v>
      </c>
      <c r="C10" s="6" t="str">
        <f>IFERROR(INDEX(Data_Quality!$C$9:$C$71,MATCH(A10,Data_Quality!$A$9:$A$71,0)),"")</f>
        <v>Large</v>
      </c>
      <c r="D10" s="6">
        <f>IFERROR(INDEX(Data_Quality!$D$9:$D$71,MATCH(A10,Data_Quality!$A$9:$A$71,0)),0)</f>
        <v>6</v>
      </c>
      <c r="E10" s="23">
        <f>IFERROR(INDEX(Data_Quality!$R$9:$R$71,MATCH(A10,Data_Quality!$A$9:$A$71,0)),0)</f>
        <v>1</v>
      </c>
      <c r="F10" s="6">
        <f>IFERROR(INDEX(Data_Quality!$Q$9:$Q$71,MATCH(A10,Data_Quality!$A$9:$A$71,0)),0)</f>
        <v>5</v>
      </c>
      <c r="G10" s="23">
        <f>IFERROR(INDEX(Data_Quality!$S$9:$S$71,MATCH(A10,Data_Quality!$A$9:$A$71,0)),0)</f>
        <v>0</v>
      </c>
      <c r="H10" s="6" t="str">
        <f>IFERROR(INDEX(Data_Quality!$T$9:$T$71,MATCH(A10,Data_Quality!$A$9:$A$71,0)),"")</f>
        <v>Excellent - FAA Backfill Pending</v>
      </c>
    </row>
    <row r="11" spans="1:8">
      <c r="A11" s="6" t="str">
        <f>"MIA"</f>
        <v>MIA</v>
      </c>
      <c r="B11" s="6" t="str">
        <f>IFERROR(INDEX(Data_Quality!$B$9:$B$71,MATCH(A11,Data_Quality!$A$9:$A$71,0)),"")</f>
        <v>Miami International</v>
      </c>
      <c r="C11" s="6" t="str">
        <f>IFERROR(INDEX(Data_Quality!$C$9:$C$71,MATCH(A11,Data_Quality!$A$9:$A$71,0)),"")</f>
        <v>Large</v>
      </c>
      <c r="D11" s="6">
        <f>IFERROR(INDEX(Data_Quality!$D$9:$D$71,MATCH(A11,Data_Quality!$A$9:$A$71,0)),0)</f>
        <v>6</v>
      </c>
      <c r="E11" s="23">
        <f>IFERROR(INDEX(Data_Quality!$R$9:$R$71,MATCH(A11,Data_Quality!$A$9:$A$71,0)),0)</f>
        <v>1</v>
      </c>
      <c r="F11" s="6">
        <f>IFERROR(INDEX(Data_Quality!$Q$9:$Q$71,MATCH(A11,Data_Quality!$A$9:$A$71,0)),0)</f>
        <v>0</v>
      </c>
      <c r="G11" s="23">
        <f>IFERROR(INDEX(Data_Quality!$S$9:$S$71,MATCH(A11,Data_Quality!$A$9:$A$71,0)),0)</f>
        <v>0</v>
      </c>
      <c r="H11" s="6" t="str">
        <f>IFERROR(INDEX(Data_Quality!$T$9:$T$71,MATCH(A11,Data_Quality!$A$9:$A$71,0)),"")</f>
        <v>Excellent - FAA Backfill Pending</v>
      </c>
    </row>
    <row r="12" spans="1:8">
      <c r="A12" s="6" t="str">
        <f>"SFO"</f>
        <v>SFO</v>
      </c>
      <c r="B12" s="6" t="str">
        <f>IFERROR(INDEX(Data_Quality!$B$9:$B$71,MATCH(A12,Data_Quality!$A$9:$A$71,0)),"")</f>
        <v>San Francisco International</v>
      </c>
      <c r="C12" s="6" t="str">
        <f>IFERROR(INDEX(Data_Quality!$C$9:$C$71,MATCH(A12,Data_Quality!$A$9:$A$71,0)),"")</f>
        <v>Large</v>
      </c>
      <c r="D12" s="6">
        <f>IFERROR(INDEX(Data_Quality!$D$9:$D$71,MATCH(A12,Data_Quality!$A$9:$A$71,0)),0)</f>
        <v>6</v>
      </c>
      <c r="E12" s="23">
        <f>IFERROR(INDEX(Data_Quality!$R$9:$R$71,MATCH(A12,Data_Quality!$A$9:$A$71,0)),0)</f>
        <v>1</v>
      </c>
      <c r="F12" s="6">
        <f>IFERROR(INDEX(Data_Quality!$Q$9:$Q$71,MATCH(A12,Data_Quality!$A$9:$A$71,0)),0)</f>
        <v>0</v>
      </c>
      <c r="G12" s="23">
        <f>IFERROR(INDEX(Data_Quality!$S$9:$S$71,MATCH(A12,Data_Quality!$A$9:$A$71,0)),0)</f>
        <v>0</v>
      </c>
      <c r="H12" s="6" t="str">
        <f>IFERROR(INDEX(Data_Quality!$T$9:$T$71,MATCH(A12,Data_Quality!$A$9:$A$71,0)),"")</f>
        <v>Excellent - FAA Backfill Pending</v>
      </c>
    </row>
    <row r="13" spans="1:8">
      <c r="A13" s="6" t="str">
        <f>"IAH"</f>
        <v>IAH</v>
      </c>
      <c r="B13" s="6" t="str">
        <f>IFERROR(INDEX(Data_Quality!$B$9:$B$71,MATCH(A13,Data_Quality!$A$9:$A$71,0)),"")</f>
        <v>George Bush Intcntl/Houston</v>
      </c>
      <c r="C13" s="6" t="str">
        <f>IFERROR(INDEX(Data_Quality!$C$9:$C$71,MATCH(A13,Data_Quality!$A$9:$A$71,0)),"")</f>
        <v>Large</v>
      </c>
      <c r="D13" s="6">
        <f>IFERROR(INDEX(Data_Quality!$D$9:$D$71,MATCH(A13,Data_Quality!$A$9:$A$71,0)),0)</f>
        <v>6</v>
      </c>
      <c r="E13" s="23">
        <f>IFERROR(INDEX(Data_Quality!$R$9:$R$71,MATCH(A13,Data_Quality!$A$9:$A$71,0)),0)</f>
        <v>1</v>
      </c>
      <c r="F13" s="6">
        <f>IFERROR(INDEX(Data_Quality!$Q$9:$Q$71,MATCH(A13,Data_Quality!$A$9:$A$71,0)),0)</f>
        <v>0</v>
      </c>
      <c r="G13" s="23">
        <f>IFERROR(INDEX(Data_Quality!$S$9:$S$71,MATCH(A13,Data_Quality!$A$9:$A$71,0)),0)</f>
        <v>0</v>
      </c>
      <c r="H13" s="6" t="str">
        <f>IFERROR(INDEX(Data_Quality!$T$9:$T$71,MATCH(A13,Data_Quality!$A$9:$A$71,0)),"")</f>
        <v>Excellent - FAA Backfill Pending</v>
      </c>
    </row>
    <row r="14" spans="1:8">
      <c r="A14" s="6" t="str">
        <f>"MCO"</f>
        <v>MCO</v>
      </c>
      <c r="B14" s="6" t="str">
        <f>IFERROR(INDEX(Data_Quality!$B$9:$B$71,MATCH(A14,Data_Quality!$A$9:$A$71,0)),"")</f>
        <v>Orlando International</v>
      </c>
      <c r="C14" s="6" t="str">
        <f>IFERROR(INDEX(Data_Quality!$C$9:$C$71,MATCH(A14,Data_Quality!$A$9:$A$71,0)),"")</f>
        <v>Large</v>
      </c>
      <c r="D14" s="6">
        <f>IFERROR(INDEX(Data_Quality!$D$9:$D$71,MATCH(A14,Data_Quality!$A$9:$A$71,0)),0)</f>
        <v>6</v>
      </c>
      <c r="E14" s="23">
        <f>IFERROR(INDEX(Data_Quality!$R$9:$R$71,MATCH(A14,Data_Quality!$A$9:$A$71,0)),0)</f>
        <v>1</v>
      </c>
      <c r="F14" s="6">
        <f>IFERROR(INDEX(Data_Quality!$Q$9:$Q$71,MATCH(A14,Data_Quality!$A$9:$A$71,0)),0)</f>
        <v>0</v>
      </c>
      <c r="G14" s="23">
        <f>IFERROR(INDEX(Data_Quality!$S$9:$S$71,MATCH(A14,Data_Quality!$A$9:$A$71,0)),0)</f>
        <v>0</v>
      </c>
      <c r="H14" s="6" t="str">
        <f>IFERROR(INDEX(Data_Quality!$T$9:$T$71,MATCH(A14,Data_Quality!$A$9:$A$71,0)),"")</f>
        <v>Excellent - FAA Backfill Pending</v>
      </c>
    </row>
    <row r="15" spans="1:8">
      <c r="A15" s="6" t="str">
        <f>"DTW"</f>
        <v>DTW</v>
      </c>
      <c r="B15" s="6" t="str">
        <f>IFERROR(INDEX(Data_Quality!$B$9:$B$71,MATCH(A15,Data_Quality!$A$9:$A$71,0)),"")</f>
        <v>Detroit Metro Wayne County</v>
      </c>
      <c r="C15" s="6" t="str">
        <f>IFERROR(INDEX(Data_Quality!$C$9:$C$71,MATCH(A15,Data_Quality!$A$9:$A$71,0)),"")</f>
        <v>Large</v>
      </c>
      <c r="D15" s="6">
        <f>IFERROR(INDEX(Data_Quality!$D$9:$D$71,MATCH(A15,Data_Quality!$A$9:$A$71,0)),0)</f>
        <v>6</v>
      </c>
      <c r="E15" s="23">
        <f>IFERROR(INDEX(Data_Quality!$R$9:$R$71,MATCH(A15,Data_Quality!$A$9:$A$71,0)),0)</f>
        <v>1</v>
      </c>
      <c r="F15" s="6">
        <f>IFERROR(INDEX(Data_Quality!$Q$9:$Q$71,MATCH(A15,Data_Quality!$A$9:$A$71,0)),0)</f>
        <v>0</v>
      </c>
      <c r="G15" s="23">
        <f>IFERROR(INDEX(Data_Quality!$S$9:$S$71,MATCH(A15,Data_Quality!$A$9:$A$71,0)),0)</f>
        <v>0</v>
      </c>
      <c r="H15" s="6" t="str">
        <f>IFERROR(INDEX(Data_Quality!$T$9:$T$71,MATCH(A15,Data_Quality!$A$9:$A$71,0)),"")</f>
        <v>Excellent - FAA Backfill Pending</v>
      </c>
    </row>
    <row r="16" spans="1:8">
      <c r="A16" s="6" t="str">
        <f>"BOS"</f>
        <v>BOS</v>
      </c>
      <c r="B16" s="6" t="str">
        <f>IFERROR(INDEX(Data_Quality!$B$9:$B$71,MATCH(A16,Data_Quality!$A$9:$A$71,0)),"")</f>
        <v>General Edward Lawrence Logan International</v>
      </c>
      <c r="C16" s="6" t="str">
        <f>IFERROR(INDEX(Data_Quality!$C$9:$C$71,MATCH(A16,Data_Quality!$A$9:$A$71,0)),"")</f>
        <v>Large</v>
      </c>
      <c r="D16" s="6">
        <f>IFERROR(INDEX(Data_Quality!$D$9:$D$71,MATCH(A16,Data_Quality!$A$9:$A$71,0)),0)</f>
        <v>6</v>
      </c>
      <c r="E16" s="23">
        <f>IFERROR(INDEX(Data_Quality!$R$9:$R$71,MATCH(A16,Data_Quality!$A$9:$A$71,0)),0)</f>
        <v>1</v>
      </c>
      <c r="F16" s="6">
        <f>IFERROR(INDEX(Data_Quality!$Q$9:$Q$71,MATCH(A16,Data_Quality!$A$9:$A$71,0)),0)</f>
        <v>0</v>
      </c>
      <c r="G16" s="23">
        <f>IFERROR(INDEX(Data_Quality!$S$9:$S$71,MATCH(A16,Data_Quality!$A$9:$A$71,0)),0)</f>
        <v>0</v>
      </c>
      <c r="H16" s="6" t="str">
        <f>IFERROR(INDEX(Data_Quality!$T$9:$T$71,MATCH(A16,Data_Quality!$A$9:$A$71,0)),"")</f>
        <v>Excellent - FAA Backfill Pending</v>
      </c>
    </row>
    <row r="17" spans="1:8">
      <c r="A17" s="6" t="str">
        <f>"FLL"</f>
        <v>FLL</v>
      </c>
      <c r="B17" s="6" t="str">
        <f>IFERROR(INDEX(Data_Quality!$B$9:$B$71,MATCH(A17,Data_Quality!$A$9:$A$71,0)),"")</f>
        <v>Fort Lauderdale/Hollywood International</v>
      </c>
      <c r="C17" s="6" t="str">
        <f>IFERROR(INDEX(Data_Quality!$C$9:$C$71,MATCH(A17,Data_Quality!$A$9:$A$71,0)),"")</f>
        <v>Large</v>
      </c>
      <c r="D17" s="6">
        <f>IFERROR(INDEX(Data_Quality!$D$9:$D$71,MATCH(A17,Data_Quality!$A$9:$A$71,0)),0)</f>
        <v>6</v>
      </c>
      <c r="E17" s="23">
        <f>IFERROR(INDEX(Data_Quality!$R$9:$R$71,MATCH(A17,Data_Quality!$A$9:$A$71,0)),0)</f>
        <v>1</v>
      </c>
      <c r="F17" s="6">
        <f>IFERROR(INDEX(Data_Quality!$Q$9:$Q$71,MATCH(A17,Data_Quality!$A$9:$A$71,0)),0)</f>
        <v>0</v>
      </c>
      <c r="G17" s="23">
        <f>IFERROR(INDEX(Data_Quality!$S$9:$S$71,MATCH(A17,Data_Quality!$A$9:$A$71,0)),0)</f>
        <v>0</v>
      </c>
      <c r="H17" s="6" t="str">
        <f>IFERROR(INDEX(Data_Quality!$T$9:$T$71,MATCH(A17,Data_Quality!$A$9:$A$71,0)),"")</f>
        <v>Excellent - FAA Backfill Pending</v>
      </c>
    </row>
    <row r="18" spans="1:8">
      <c r="A18" s="6" t="str">
        <f>"PHL"</f>
        <v>PHL</v>
      </c>
      <c r="B18" s="6" t="str">
        <f>IFERROR(INDEX(Data_Quality!$B$9:$B$71,MATCH(A18,Data_Quality!$A$9:$A$71,0)),"")</f>
        <v>Philadelphia International</v>
      </c>
      <c r="C18" s="6" t="str">
        <f>IFERROR(INDEX(Data_Quality!$C$9:$C$71,MATCH(A18,Data_Quality!$A$9:$A$71,0)),"")</f>
        <v>Large</v>
      </c>
      <c r="D18" s="6">
        <f>IFERROR(INDEX(Data_Quality!$D$9:$D$71,MATCH(A18,Data_Quality!$A$9:$A$71,0)),0)</f>
        <v>6</v>
      </c>
      <c r="E18" s="23">
        <f>IFERROR(INDEX(Data_Quality!$R$9:$R$71,MATCH(A18,Data_Quality!$A$9:$A$71,0)),0)</f>
        <v>1</v>
      </c>
      <c r="F18" s="6">
        <f>IFERROR(INDEX(Data_Quality!$Q$9:$Q$71,MATCH(A18,Data_Quality!$A$9:$A$71,0)),0)</f>
        <v>0</v>
      </c>
      <c r="G18" s="23">
        <f>IFERROR(INDEX(Data_Quality!$S$9:$S$71,MATCH(A18,Data_Quality!$A$9:$A$71,0)),0)</f>
        <v>0</v>
      </c>
      <c r="H18" s="6" t="str">
        <f>IFERROR(INDEX(Data_Quality!$T$9:$T$71,MATCH(A18,Data_Quality!$A$9:$A$71,0)),"")</f>
        <v>Excellent - FAA Backfill Pending</v>
      </c>
    </row>
    <row r="19" spans="1:8" ht="28">
      <c r="A19" s="6" t="str">
        <f>"MSP"</f>
        <v>MSP</v>
      </c>
      <c r="B19" s="6" t="str">
        <f>IFERROR(INDEX(Data_Quality!$B$9:$B$71,MATCH(A19,Data_Quality!$A$9:$A$71,0)),"")</f>
        <v>Minneapolis-St Paul International/Wold-Chamberlain</v>
      </c>
      <c r="C19" s="6" t="str">
        <f>IFERROR(INDEX(Data_Quality!$C$9:$C$71,MATCH(A19,Data_Quality!$A$9:$A$71,0)),"")</f>
        <v>Large</v>
      </c>
      <c r="D19" s="6">
        <f>IFERROR(INDEX(Data_Quality!$D$9:$D$71,MATCH(A19,Data_Quality!$A$9:$A$71,0)),0)</f>
        <v>6</v>
      </c>
      <c r="E19" s="23">
        <f>IFERROR(INDEX(Data_Quality!$R$9:$R$71,MATCH(A19,Data_Quality!$A$9:$A$71,0)),0)</f>
        <v>1</v>
      </c>
      <c r="F19" s="6">
        <f>IFERROR(INDEX(Data_Quality!$Q$9:$Q$71,MATCH(A19,Data_Quality!$A$9:$A$71,0)),0)</f>
        <v>0</v>
      </c>
      <c r="G19" s="23">
        <f>IFERROR(INDEX(Data_Quality!$S$9:$S$71,MATCH(A19,Data_Quality!$A$9:$A$71,0)),0)</f>
        <v>0</v>
      </c>
      <c r="H19" s="6" t="str">
        <f>IFERROR(INDEX(Data_Quality!$T$9:$T$71,MATCH(A19,Data_Quality!$A$9:$A$71,0)),"")</f>
        <v>Excellent - FAA Backfill Pending</v>
      </c>
    </row>
    <row r="20" spans="1:8">
      <c r="A20" s="6" t="str">
        <f>"SLC"</f>
        <v>SLC</v>
      </c>
      <c r="B20" s="6" t="str">
        <f>IFERROR(INDEX(Data_Quality!$B$9:$B$71,MATCH(A20,Data_Quality!$A$9:$A$71,0)),"")</f>
        <v>Salt Lake City International</v>
      </c>
      <c r="C20" s="6" t="str">
        <f>IFERROR(INDEX(Data_Quality!$C$9:$C$71,MATCH(A20,Data_Quality!$A$9:$A$71,0)),"")</f>
        <v>Large</v>
      </c>
      <c r="D20" s="6">
        <f>IFERROR(INDEX(Data_Quality!$D$9:$D$71,MATCH(A20,Data_Quality!$A$9:$A$71,0)),0)</f>
        <v>6</v>
      </c>
      <c r="E20" s="23">
        <f>IFERROR(INDEX(Data_Quality!$R$9:$R$71,MATCH(A20,Data_Quality!$A$9:$A$71,0)),0)</f>
        <v>1</v>
      </c>
      <c r="F20" s="6">
        <f>IFERROR(INDEX(Data_Quality!$Q$9:$Q$71,MATCH(A20,Data_Quality!$A$9:$A$71,0)),0)</f>
        <v>0</v>
      </c>
      <c r="G20" s="23">
        <f>IFERROR(INDEX(Data_Quality!$S$9:$S$71,MATCH(A20,Data_Quality!$A$9:$A$71,0)),0)</f>
        <v>0</v>
      </c>
      <c r="H20" s="6" t="str">
        <f>IFERROR(INDEX(Data_Quality!$T$9:$T$71,MATCH(A20,Data_Quality!$A$9:$A$71,0)),"")</f>
        <v>Excellent - FAA Backfill Pending</v>
      </c>
    </row>
    <row r="21" spans="1:8" ht="28">
      <c r="A21" s="6" t="str">
        <f>"BWI"</f>
        <v>BWI</v>
      </c>
      <c r="B21" s="6" t="str">
        <f>IFERROR(INDEX(Data_Quality!$B$9:$B$71,MATCH(A21,Data_Quality!$A$9:$A$71,0)),"")</f>
        <v>Baltimore/Washington International Thurgood Marshall</v>
      </c>
      <c r="C21" s="6" t="str">
        <f>IFERROR(INDEX(Data_Quality!$C$9:$C$71,MATCH(A21,Data_Quality!$A$9:$A$71,0)),"")</f>
        <v>Large</v>
      </c>
      <c r="D21" s="6">
        <f>IFERROR(INDEX(Data_Quality!$D$9:$D$71,MATCH(A21,Data_Quality!$A$9:$A$71,0)),0)</f>
        <v>6</v>
      </c>
      <c r="E21" s="23">
        <f>IFERROR(INDEX(Data_Quality!$R$9:$R$71,MATCH(A21,Data_Quality!$A$9:$A$71,0)),0)</f>
        <v>1</v>
      </c>
      <c r="F21" s="6">
        <f>IFERROR(INDEX(Data_Quality!$Q$9:$Q$71,MATCH(A21,Data_Quality!$A$9:$A$71,0)),0)</f>
        <v>0</v>
      </c>
      <c r="G21" s="23">
        <f>IFERROR(INDEX(Data_Quality!$S$9:$S$71,MATCH(A21,Data_Quality!$A$9:$A$71,0)),0)</f>
        <v>0</v>
      </c>
      <c r="H21" s="6" t="str">
        <f>IFERROR(INDEX(Data_Quality!$T$9:$T$71,MATCH(A21,Data_Quality!$A$9:$A$71,0)),"")</f>
        <v>Excellent - FAA Backfill Pending</v>
      </c>
    </row>
    <row r="22" spans="1:8">
      <c r="A22" s="6" t="str">
        <f>"TPA"</f>
        <v>TPA</v>
      </c>
      <c r="B22" s="6" t="str">
        <f>IFERROR(INDEX(Data_Quality!$B$9:$B$71,MATCH(A22,Data_Quality!$A$9:$A$71,0)),"")</f>
        <v>Tampa International</v>
      </c>
      <c r="C22" s="6" t="str">
        <f>IFERROR(INDEX(Data_Quality!$C$9:$C$71,MATCH(A22,Data_Quality!$A$9:$A$71,0)),"")</f>
        <v>Large</v>
      </c>
      <c r="D22" s="6">
        <f>IFERROR(INDEX(Data_Quality!$D$9:$D$71,MATCH(A22,Data_Quality!$A$9:$A$71,0)),0)</f>
        <v>6</v>
      </c>
      <c r="E22" s="23">
        <f>IFERROR(INDEX(Data_Quality!$R$9:$R$71,MATCH(A22,Data_Quality!$A$9:$A$71,0)),0)</f>
        <v>1</v>
      </c>
      <c r="F22" s="6">
        <f>IFERROR(INDEX(Data_Quality!$Q$9:$Q$71,MATCH(A22,Data_Quality!$A$9:$A$71,0)),0)</f>
        <v>0</v>
      </c>
      <c r="G22" s="23">
        <f>IFERROR(INDEX(Data_Quality!$S$9:$S$71,MATCH(A22,Data_Quality!$A$9:$A$71,0)),0)</f>
        <v>0</v>
      </c>
      <c r="H22" s="6" t="str">
        <f>IFERROR(INDEX(Data_Quality!$T$9:$T$71,MATCH(A22,Data_Quality!$A$9:$A$71,0)),"")</f>
        <v>Excellent - FAA Backfill Pending</v>
      </c>
    </row>
    <row r="23" spans="1:8">
      <c r="A23" s="6" t="str">
        <f>"AUS"</f>
        <v>AUS</v>
      </c>
      <c r="B23" s="6" t="str">
        <f>IFERROR(INDEX(Data_Quality!$B$9:$B$71,MATCH(A23,Data_Quality!$A$9:$A$71,0)),"")</f>
        <v>Austin-Bergstrom International</v>
      </c>
      <c r="C23" s="6" t="str">
        <f>IFERROR(INDEX(Data_Quality!$C$9:$C$71,MATCH(A23,Data_Quality!$A$9:$A$71,0)),"")</f>
        <v>Large</v>
      </c>
      <c r="D23" s="6">
        <f>IFERROR(INDEX(Data_Quality!$D$9:$D$71,MATCH(A23,Data_Quality!$A$9:$A$71,0)),0)</f>
        <v>6</v>
      </c>
      <c r="E23" s="23">
        <f>IFERROR(INDEX(Data_Quality!$R$9:$R$71,MATCH(A23,Data_Quality!$A$9:$A$71,0)),0)</f>
        <v>1</v>
      </c>
      <c r="F23" s="6">
        <f>IFERROR(INDEX(Data_Quality!$Q$9:$Q$71,MATCH(A23,Data_Quality!$A$9:$A$71,0)),0)</f>
        <v>0</v>
      </c>
      <c r="G23" s="23">
        <f>IFERROR(INDEX(Data_Quality!$S$9:$S$71,MATCH(A23,Data_Quality!$A$9:$A$71,0)),0)</f>
        <v>0</v>
      </c>
      <c r="H23" s="6" t="str">
        <f>IFERROR(INDEX(Data_Quality!$T$9:$T$71,MATCH(A23,Data_Quality!$A$9:$A$71,0)),"")</f>
        <v>Excellent - FAA Backfill Pending</v>
      </c>
    </row>
    <row r="24" spans="1:8">
      <c r="A24" s="6" t="str">
        <f>"SAN"</f>
        <v>SAN</v>
      </c>
      <c r="B24" s="6" t="str">
        <f>IFERROR(INDEX(Data_Quality!$B$9:$B$71,MATCH(A24,Data_Quality!$A$9:$A$71,0)),"")</f>
        <v>San Diego International</v>
      </c>
      <c r="C24" s="6" t="str">
        <f>IFERROR(INDEX(Data_Quality!$C$9:$C$71,MATCH(A24,Data_Quality!$A$9:$A$71,0)),"")</f>
        <v>Large</v>
      </c>
      <c r="D24" s="6">
        <f>IFERROR(INDEX(Data_Quality!$D$9:$D$71,MATCH(A24,Data_Quality!$A$9:$A$71,0)),0)</f>
        <v>6</v>
      </c>
      <c r="E24" s="23">
        <f>IFERROR(INDEX(Data_Quality!$R$9:$R$71,MATCH(A24,Data_Quality!$A$9:$A$71,0)),0)</f>
        <v>1</v>
      </c>
      <c r="F24" s="6">
        <f>IFERROR(INDEX(Data_Quality!$Q$9:$Q$71,MATCH(A24,Data_Quality!$A$9:$A$71,0)),0)</f>
        <v>0</v>
      </c>
      <c r="G24" s="23">
        <f>IFERROR(INDEX(Data_Quality!$S$9:$S$71,MATCH(A24,Data_Quality!$A$9:$A$71,0)),0)</f>
        <v>0</v>
      </c>
      <c r="H24" s="6" t="str">
        <f>IFERROR(INDEX(Data_Quality!$T$9:$T$71,MATCH(A24,Data_Quality!$A$9:$A$71,0)),"")</f>
        <v>Excellent - FAA Backfill Pending</v>
      </c>
    </row>
    <row r="25" spans="1:8">
      <c r="A25" s="6" t="str">
        <f>"BNA"</f>
        <v>BNA</v>
      </c>
      <c r="B25" s="6" t="str">
        <f>IFERROR(INDEX(Data_Quality!$B$9:$B$71,MATCH(A25,Data_Quality!$A$9:$A$71,0)),"")</f>
        <v>Nashville International</v>
      </c>
      <c r="C25" s="6" t="str">
        <f>IFERROR(INDEX(Data_Quality!$C$9:$C$71,MATCH(A25,Data_Quality!$A$9:$A$71,0)),"")</f>
        <v>Large</v>
      </c>
      <c r="D25" s="6">
        <f>IFERROR(INDEX(Data_Quality!$D$9:$D$71,MATCH(A25,Data_Quality!$A$9:$A$71,0)),0)</f>
        <v>6</v>
      </c>
      <c r="E25" s="23">
        <f>IFERROR(INDEX(Data_Quality!$R$9:$R$71,MATCH(A25,Data_Quality!$A$9:$A$71,0)),0)</f>
        <v>1</v>
      </c>
      <c r="F25" s="6">
        <f>IFERROR(INDEX(Data_Quality!$Q$9:$Q$71,MATCH(A25,Data_Quality!$A$9:$A$71,0)),0)</f>
        <v>0</v>
      </c>
      <c r="G25" s="23">
        <f>IFERROR(INDEX(Data_Quality!$S$9:$S$71,MATCH(A25,Data_Quality!$A$9:$A$71,0)),0)</f>
        <v>0</v>
      </c>
      <c r="H25" s="6" t="str">
        <f>IFERROR(INDEX(Data_Quality!$T$9:$T$71,MATCH(A25,Data_Quality!$A$9:$A$71,0)),"")</f>
        <v>Excellent - FAA Backfill Pending</v>
      </c>
    </row>
    <row r="26" spans="1:8">
      <c r="A26" s="6" t="str">
        <f>"DAL"</f>
        <v>DAL</v>
      </c>
      <c r="B26" s="6" t="str">
        <f>IFERROR(INDEX(Data_Quality!$B$9:$B$71,MATCH(A26,Data_Quality!$A$9:$A$71,0)),"")</f>
        <v>Dallas Love Field</v>
      </c>
      <c r="C26" s="6" t="str">
        <f>IFERROR(INDEX(Data_Quality!$C$9:$C$71,MATCH(A26,Data_Quality!$A$9:$A$71,0)),"")</f>
        <v>Medium</v>
      </c>
      <c r="D26" s="6">
        <f>IFERROR(INDEX(Data_Quality!$D$9:$D$71,MATCH(A26,Data_Quality!$A$9:$A$71,0)),0)</f>
        <v>6</v>
      </c>
      <c r="E26" s="23">
        <f>IFERROR(INDEX(Data_Quality!$R$9:$R$71,MATCH(A26,Data_Quality!$A$9:$A$71,0)),0)</f>
        <v>1</v>
      </c>
      <c r="F26" s="6">
        <f>IFERROR(INDEX(Data_Quality!$Q$9:$Q$71,MATCH(A26,Data_Quality!$A$9:$A$71,0)),0)</f>
        <v>0</v>
      </c>
      <c r="G26" s="23">
        <f>IFERROR(INDEX(Data_Quality!$S$9:$S$71,MATCH(A26,Data_Quality!$A$9:$A$71,0)),0)</f>
        <v>0</v>
      </c>
      <c r="H26" s="6" t="str">
        <f>IFERROR(INDEX(Data_Quality!$T$9:$T$71,MATCH(A26,Data_Quality!$A$9:$A$71,0)),"")</f>
        <v>Excellent - FAA Backfill Pending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2"/>
  <sheetViews>
    <sheetView workbookViewId="0"/>
  </sheetViews>
  <sheetFormatPr defaultRowHeight="14"/>
  <cols>
    <col min="1" max="1" width="12" customWidth="1"/>
    <col min="2" max="3" width="38" customWidth="1"/>
    <col min="4" max="4" width="20" customWidth="1"/>
    <col min="5" max="7" width="22" customWidth="1"/>
    <col min="8" max="8" width="28" customWidth="1"/>
    <col min="9" max="9" width="64" customWidth="1"/>
    <col min="10" max="10" width="38" customWidth="1"/>
  </cols>
  <sheetData>
    <row r="1" spans="1:10" ht="19">
      <c r="A1" s="49" t="s">
        <v>568</v>
      </c>
      <c r="B1" s="49"/>
      <c r="C1" s="49"/>
      <c r="D1" s="49"/>
      <c r="E1" s="49"/>
      <c r="F1" s="49"/>
      <c r="G1" s="49"/>
      <c r="H1" s="49"/>
      <c r="I1" s="49"/>
      <c r="J1" s="49"/>
    </row>
    <row r="2" spans="1:10" ht="14.5">
      <c r="A2" s="50" t="s">
        <v>569</v>
      </c>
      <c r="B2" s="50"/>
      <c r="C2" s="50"/>
      <c r="D2" s="50"/>
      <c r="E2" s="50"/>
      <c r="F2" s="50"/>
      <c r="G2" s="50"/>
      <c r="H2" s="50"/>
      <c r="I2" s="50"/>
      <c r="J2" s="50"/>
    </row>
    <row r="4" spans="1:10">
      <c r="A4" s="31" t="s">
        <v>0</v>
      </c>
      <c r="B4" s="31" t="s">
        <v>1</v>
      </c>
      <c r="C4" s="31" t="s">
        <v>570</v>
      </c>
      <c r="D4" s="31" t="s">
        <v>571</v>
      </c>
      <c r="E4" s="31" t="s">
        <v>572</v>
      </c>
      <c r="F4" s="31" t="s">
        <v>573</v>
      </c>
      <c r="G4" s="31" t="s">
        <v>574</v>
      </c>
      <c r="H4" s="31" t="s">
        <v>575</v>
      </c>
      <c r="I4" s="31" t="s">
        <v>576</v>
      </c>
      <c r="J4" s="31" t="s">
        <v>24</v>
      </c>
    </row>
    <row r="5" spans="1:10" ht="28">
      <c r="A5" s="6" t="s">
        <v>151</v>
      </c>
      <c r="B5" s="6" t="s">
        <v>152</v>
      </c>
      <c r="C5" s="6" t="s">
        <v>577</v>
      </c>
      <c r="D5" s="6" t="s">
        <v>578</v>
      </c>
      <c r="E5" s="6" t="s">
        <v>579</v>
      </c>
      <c r="F5" s="6" t="s">
        <v>579</v>
      </c>
      <c r="G5" s="6" t="s">
        <v>580</v>
      </c>
      <c r="H5" s="6" t="s">
        <v>581</v>
      </c>
      <c r="I5" s="6" t="s">
        <v>157</v>
      </c>
      <c r="J5" s="6" t="s">
        <v>155</v>
      </c>
    </row>
    <row r="6" spans="1:10" ht="42">
      <c r="A6" s="6" t="s">
        <v>158</v>
      </c>
      <c r="B6" s="6" t="s">
        <v>159</v>
      </c>
      <c r="C6" s="6" t="s">
        <v>582</v>
      </c>
      <c r="D6" s="6" t="s">
        <v>578</v>
      </c>
      <c r="E6" s="6" t="s">
        <v>579</v>
      </c>
      <c r="F6" s="6" t="s">
        <v>579</v>
      </c>
      <c r="G6" s="6" t="s">
        <v>583</v>
      </c>
      <c r="H6" s="6" t="s">
        <v>584</v>
      </c>
      <c r="I6" s="6" t="s">
        <v>163</v>
      </c>
      <c r="J6" s="6" t="s">
        <v>162</v>
      </c>
    </row>
    <row r="7" spans="1:10" ht="28">
      <c r="A7" s="6" t="s">
        <v>164</v>
      </c>
      <c r="B7" s="6" t="s">
        <v>165</v>
      </c>
      <c r="C7" s="6" t="s">
        <v>582</v>
      </c>
      <c r="D7" s="6" t="s">
        <v>578</v>
      </c>
      <c r="E7" s="6" t="s">
        <v>579</v>
      </c>
      <c r="F7" s="6" t="s">
        <v>579</v>
      </c>
      <c r="G7" s="6" t="s">
        <v>583</v>
      </c>
      <c r="H7" s="6" t="s">
        <v>584</v>
      </c>
      <c r="I7" s="6" t="s">
        <v>169</v>
      </c>
      <c r="J7" s="6" t="s">
        <v>168</v>
      </c>
    </row>
    <row r="8" spans="1:10" ht="28">
      <c r="A8" s="6" t="s">
        <v>170</v>
      </c>
      <c r="B8" s="6" t="s">
        <v>171</v>
      </c>
      <c r="C8" s="6" t="s">
        <v>582</v>
      </c>
      <c r="D8" s="6" t="s">
        <v>578</v>
      </c>
      <c r="E8" s="6" t="s">
        <v>579</v>
      </c>
      <c r="F8" s="6" t="s">
        <v>579</v>
      </c>
      <c r="G8" s="6" t="s">
        <v>583</v>
      </c>
      <c r="H8" s="6" t="s">
        <v>584</v>
      </c>
      <c r="I8" s="6" t="s">
        <v>169</v>
      </c>
      <c r="J8" s="6" t="s">
        <v>172</v>
      </c>
    </row>
    <row r="9" spans="1:10" ht="28">
      <c r="A9" s="6" t="s">
        <v>173</v>
      </c>
      <c r="B9" s="6" t="s">
        <v>174</v>
      </c>
      <c r="C9" s="6" t="s">
        <v>585</v>
      </c>
      <c r="D9" s="6" t="s">
        <v>578</v>
      </c>
      <c r="E9" s="6" t="s">
        <v>579</v>
      </c>
      <c r="F9" s="6" t="s">
        <v>579</v>
      </c>
      <c r="G9" s="6" t="s">
        <v>583</v>
      </c>
      <c r="H9" s="6" t="s">
        <v>584</v>
      </c>
      <c r="I9" s="6" t="s">
        <v>178</v>
      </c>
      <c r="J9" s="6" t="s">
        <v>177</v>
      </c>
    </row>
    <row r="10" spans="1:10" ht="28">
      <c r="A10" s="6" t="s">
        <v>179</v>
      </c>
      <c r="B10" s="6" t="s">
        <v>180</v>
      </c>
      <c r="C10" s="6" t="s">
        <v>585</v>
      </c>
      <c r="D10" s="6" t="s">
        <v>578</v>
      </c>
      <c r="E10" s="6" t="s">
        <v>579</v>
      </c>
      <c r="F10" s="6" t="s">
        <v>579</v>
      </c>
      <c r="G10" s="6" t="s">
        <v>583</v>
      </c>
      <c r="H10" s="6" t="s">
        <v>584</v>
      </c>
      <c r="I10" s="6" t="s">
        <v>178</v>
      </c>
      <c r="J10" s="6" t="s">
        <v>182</v>
      </c>
    </row>
    <row r="11" spans="1:10" ht="28">
      <c r="A11" s="6" t="s">
        <v>183</v>
      </c>
      <c r="B11" s="6" t="s">
        <v>184</v>
      </c>
      <c r="C11" s="6" t="s">
        <v>586</v>
      </c>
      <c r="D11" s="6" t="s">
        <v>578</v>
      </c>
      <c r="E11" s="6" t="s">
        <v>579</v>
      </c>
      <c r="F11" s="6" t="s">
        <v>579</v>
      </c>
      <c r="G11" s="6" t="s">
        <v>583</v>
      </c>
      <c r="H11" s="6" t="s">
        <v>584</v>
      </c>
      <c r="I11" s="6" t="s">
        <v>188</v>
      </c>
      <c r="J11" s="6" t="s">
        <v>187</v>
      </c>
    </row>
    <row r="12" spans="1:10" ht="28">
      <c r="A12" s="6" t="s">
        <v>189</v>
      </c>
      <c r="B12" s="6" t="s">
        <v>190</v>
      </c>
      <c r="C12" s="6" t="s">
        <v>587</v>
      </c>
      <c r="D12" s="6" t="s">
        <v>578</v>
      </c>
      <c r="E12" s="6" t="s">
        <v>579</v>
      </c>
      <c r="F12" s="6" t="s">
        <v>579</v>
      </c>
      <c r="G12" s="6" t="s">
        <v>580</v>
      </c>
      <c r="H12" s="6" t="s">
        <v>581</v>
      </c>
      <c r="I12" s="6" t="s">
        <v>157</v>
      </c>
      <c r="J12" s="6" t="s">
        <v>191</v>
      </c>
    </row>
  </sheetData>
  <mergeCells count="2">
    <mergeCell ref="A1:J1"/>
    <mergeCell ref="A2:J2"/>
  </mergeCells>
  <conditionalFormatting sqref="H5:H12">
    <cfRule type="expression" dxfId="12" priority="1">
      <formula>H5="Include"</formula>
    </cfRule>
    <cfRule type="expression" dxfId="11" priority="2">
      <formula>H5="Include with finance caveat"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4"/>
  <sheetViews>
    <sheetView workbookViewId="0"/>
  </sheetViews>
  <sheetFormatPr defaultRowHeight="14"/>
  <cols>
    <col min="1" max="1" width="12" customWidth="1"/>
    <col min="2" max="2" width="40" customWidth="1"/>
    <col min="3" max="3" width="11" customWidth="1"/>
    <col min="4" max="4" width="14" customWidth="1"/>
    <col min="5" max="5" width="22" customWidth="1"/>
    <col min="6" max="6" width="12" customWidth="1"/>
    <col min="7" max="7" width="17" customWidth="1"/>
    <col min="8" max="8" width="32" customWidth="1"/>
    <col min="9" max="9" width="68" customWidth="1"/>
  </cols>
  <sheetData>
    <row r="1" spans="1:9" ht="28">
      <c r="A1" s="32" t="s">
        <v>0</v>
      </c>
      <c r="B1" s="32" t="s">
        <v>1</v>
      </c>
      <c r="C1" s="32" t="s">
        <v>4</v>
      </c>
      <c r="D1" s="32" t="s">
        <v>480</v>
      </c>
      <c r="E1" s="32" t="s">
        <v>535</v>
      </c>
      <c r="F1" s="32" t="s">
        <v>566</v>
      </c>
      <c r="G1" s="32" t="s">
        <v>567</v>
      </c>
      <c r="H1" s="32" t="s">
        <v>268</v>
      </c>
      <c r="I1" s="32" t="s">
        <v>588</v>
      </c>
    </row>
    <row r="2" spans="1:9">
      <c r="A2" s="6" t="s">
        <v>27</v>
      </c>
      <c r="B2" s="6" t="str">
        <f>IFERROR(INDEX(Data_Quality!$B$9:$B$71,MATCH($A2,Data_Quality!$A$9:$A$71,0)),"")</f>
        <v>Hartsfield/Jackson Atlanta International</v>
      </c>
      <c r="C2" s="6" t="str">
        <f>IFERROR(INDEX(Data_Quality!$C$9:$C$71,MATCH($A2,Data_Quality!$A$9:$A$71,0)),"")</f>
        <v>Large</v>
      </c>
      <c r="D2" s="6">
        <f>IFERROR(INDEX(Data_Quality!$D$9:$D$71,MATCH($A2,Data_Quality!$A$9:$A$71,0)),0)</f>
        <v>6</v>
      </c>
      <c r="E2" s="23">
        <f>IFERROR(INDEX(Data_Quality!$R$9:$R$71,MATCH($A2,Data_Quality!$A$9:$A$71,0)),0)</f>
        <v>1</v>
      </c>
      <c r="F2" s="6">
        <f>IFERROR(INDEX(Data_Quality!$Q$9:$Q$71,MATCH($A2,Data_Quality!$A$9:$A$71,0)),0)</f>
        <v>0</v>
      </c>
      <c r="G2" s="23">
        <f>IFERROR(INDEX(Data_Quality!$S$9:$S$71,MATCH($A2,Data_Quality!$A$9:$A$71,0)),0)</f>
        <v>0</v>
      </c>
      <c r="H2" s="6" t="str">
        <f>IFERROR(INDEX(Data_Quality!$T$9:$T$71,MATCH($A2,Data_Quality!$A$9:$A$71,0)),"")</f>
        <v>Excellent - FAA Backfill Pending</v>
      </c>
      <c r="I2" s="6" t="s">
        <v>589</v>
      </c>
    </row>
    <row r="3" spans="1:9">
      <c r="A3" s="6" t="s">
        <v>36</v>
      </c>
      <c r="B3" s="6" t="str">
        <f>IFERROR(INDEX(Data_Quality!$B$9:$B$71,MATCH($A3,Data_Quality!$A$9:$A$71,0)),"")</f>
        <v>Dallas-Fort Worth International</v>
      </c>
      <c r="C3" s="6" t="str">
        <f>IFERROR(INDEX(Data_Quality!$C$9:$C$71,MATCH($A3,Data_Quality!$A$9:$A$71,0)),"")</f>
        <v>Large</v>
      </c>
      <c r="D3" s="6">
        <f>IFERROR(INDEX(Data_Quality!$D$9:$D$71,MATCH($A3,Data_Quality!$A$9:$A$71,0)),0)</f>
        <v>6</v>
      </c>
      <c r="E3" s="23">
        <f>IFERROR(INDEX(Data_Quality!$R$9:$R$71,MATCH($A3,Data_Quality!$A$9:$A$71,0)),0)</f>
        <v>1</v>
      </c>
      <c r="F3" s="6">
        <f>IFERROR(INDEX(Data_Quality!$Q$9:$Q$71,MATCH($A3,Data_Quality!$A$9:$A$71,0)),0)</f>
        <v>0</v>
      </c>
      <c r="G3" s="23">
        <f>IFERROR(INDEX(Data_Quality!$S$9:$S$71,MATCH($A3,Data_Quality!$A$9:$A$71,0)),0)</f>
        <v>0</v>
      </c>
      <c r="H3" s="6" t="str">
        <f>IFERROR(INDEX(Data_Quality!$T$9:$T$71,MATCH($A3,Data_Quality!$A$9:$A$71,0)),"")</f>
        <v>Excellent - FAA Backfill Pending</v>
      </c>
      <c r="I3" s="6" t="s">
        <v>589</v>
      </c>
    </row>
    <row r="4" spans="1:9">
      <c r="A4" s="6" t="s">
        <v>41</v>
      </c>
      <c r="B4" s="6" t="str">
        <f>IFERROR(INDEX(Data_Quality!$B$9:$B$71,MATCH($A4,Data_Quality!$A$9:$A$71,0)),"")</f>
        <v>Los Angeles International</v>
      </c>
      <c r="C4" s="6" t="str">
        <f>IFERROR(INDEX(Data_Quality!$C$9:$C$71,MATCH($A4,Data_Quality!$A$9:$A$71,0)),"")</f>
        <v>Large</v>
      </c>
      <c r="D4" s="6">
        <f>IFERROR(INDEX(Data_Quality!$D$9:$D$71,MATCH($A4,Data_Quality!$A$9:$A$71,0)),0)</f>
        <v>6</v>
      </c>
      <c r="E4" s="23">
        <f>IFERROR(INDEX(Data_Quality!$R$9:$R$71,MATCH($A4,Data_Quality!$A$9:$A$71,0)),0)</f>
        <v>1</v>
      </c>
      <c r="F4" s="6">
        <f>IFERROR(INDEX(Data_Quality!$Q$9:$Q$71,MATCH($A4,Data_Quality!$A$9:$A$71,0)),0)</f>
        <v>0</v>
      </c>
      <c r="G4" s="23">
        <f>IFERROR(INDEX(Data_Quality!$S$9:$S$71,MATCH($A4,Data_Quality!$A$9:$A$71,0)),0)</f>
        <v>0</v>
      </c>
      <c r="H4" s="6" t="str">
        <f>IFERROR(INDEX(Data_Quality!$T$9:$T$71,MATCH($A4,Data_Quality!$A$9:$A$71,0)),"")</f>
        <v>Excellent - FAA Backfill Pending</v>
      </c>
      <c r="I4" s="6" t="s">
        <v>589</v>
      </c>
    </row>
    <row r="5" spans="1:9">
      <c r="A5" s="6" t="s">
        <v>46</v>
      </c>
      <c r="B5" s="6" t="str">
        <f>IFERROR(INDEX(Data_Quality!$B$9:$B$71,MATCH($A5,Data_Quality!$A$9:$A$71,0)),"")</f>
        <v>Seattle-Tacoma International</v>
      </c>
      <c r="C5" s="6" t="str">
        <f>IFERROR(INDEX(Data_Quality!$C$9:$C$71,MATCH($A5,Data_Quality!$A$9:$A$71,0)),"")</f>
        <v>Large</v>
      </c>
      <c r="D5" s="6">
        <f>IFERROR(INDEX(Data_Quality!$D$9:$D$71,MATCH($A5,Data_Quality!$A$9:$A$71,0)),0)</f>
        <v>6</v>
      </c>
      <c r="E5" s="23">
        <f>IFERROR(INDEX(Data_Quality!$R$9:$R$71,MATCH($A5,Data_Quality!$A$9:$A$71,0)),0)</f>
        <v>1</v>
      </c>
      <c r="F5" s="6">
        <f>IFERROR(INDEX(Data_Quality!$Q$9:$Q$71,MATCH($A5,Data_Quality!$A$9:$A$71,0)),0)</f>
        <v>0</v>
      </c>
      <c r="G5" s="23">
        <f>IFERROR(INDEX(Data_Quality!$S$9:$S$71,MATCH($A5,Data_Quality!$A$9:$A$71,0)),0)</f>
        <v>0</v>
      </c>
      <c r="H5" s="6" t="str">
        <f>IFERROR(INDEX(Data_Quality!$T$9:$T$71,MATCH($A5,Data_Quality!$A$9:$A$71,0)),"")</f>
        <v>Excellent - FAA Backfill Pending</v>
      </c>
      <c r="I5" s="6" t="s">
        <v>589</v>
      </c>
    </row>
    <row r="6" spans="1:9">
      <c r="A6" s="6" t="s">
        <v>51</v>
      </c>
      <c r="B6" s="6" t="str">
        <f>IFERROR(INDEX(Data_Quality!$B$9:$B$71,MATCH($A6,Data_Quality!$A$9:$A$71,0)),"")</f>
        <v>Cleveland-Hopkins International</v>
      </c>
      <c r="C6" s="6" t="str">
        <f>IFERROR(INDEX(Data_Quality!$C$9:$C$71,MATCH($A6,Data_Quality!$A$9:$A$71,0)),"")</f>
        <v>Medium</v>
      </c>
      <c r="D6" s="6">
        <f>IFERROR(INDEX(Data_Quality!$D$9:$D$71,MATCH($A6,Data_Quality!$A$9:$A$71,0)),0)</f>
        <v>6</v>
      </c>
      <c r="E6" s="23">
        <f>IFERROR(INDEX(Data_Quality!$R$9:$R$71,MATCH($A6,Data_Quality!$A$9:$A$71,0)),0)</f>
        <v>1</v>
      </c>
      <c r="F6" s="6">
        <f>IFERROR(INDEX(Data_Quality!$Q$9:$Q$71,MATCH($A6,Data_Quality!$A$9:$A$71,0)),0)</f>
        <v>0</v>
      </c>
      <c r="G6" s="23">
        <f>IFERROR(INDEX(Data_Quality!$S$9:$S$71,MATCH($A6,Data_Quality!$A$9:$A$71,0)),0)</f>
        <v>0</v>
      </c>
      <c r="H6" s="6" t="str">
        <f>IFERROR(INDEX(Data_Quality!$T$9:$T$71,MATCH($A6,Data_Quality!$A$9:$A$71,0)),"")</f>
        <v>Excellent - FAA Backfill Pending</v>
      </c>
      <c r="I6" s="6" t="s">
        <v>589</v>
      </c>
    </row>
    <row r="7" spans="1:9">
      <c r="A7" s="6" t="s">
        <v>57</v>
      </c>
      <c r="B7" s="6" t="str">
        <f>IFERROR(INDEX(Data_Quality!$B$9:$B$71,MATCH($A7,Data_Quality!$A$9:$A$71,0)),"")</f>
        <v>Denver International</v>
      </c>
      <c r="C7" s="6" t="str">
        <f>IFERROR(INDEX(Data_Quality!$C$9:$C$71,MATCH($A7,Data_Quality!$A$9:$A$71,0)),"")</f>
        <v>Large</v>
      </c>
      <c r="D7" s="6">
        <f>IFERROR(INDEX(Data_Quality!$D$9:$D$71,MATCH($A7,Data_Quality!$A$9:$A$71,0)),0)</f>
        <v>6</v>
      </c>
      <c r="E7" s="23">
        <f>IFERROR(INDEX(Data_Quality!$R$9:$R$71,MATCH($A7,Data_Quality!$A$9:$A$71,0)),0)</f>
        <v>1</v>
      </c>
      <c r="F7" s="6">
        <f>IFERROR(INDEX(Data_Quality!$Q$9:$Q$71,MATCH($A7,Data_Quality!$A$9:$A$71,0)),0)</f>
        <v>0</v>
      </c>
      <c r="G7" s="23">
        <f>IFERROR(INDEX(Data_Quality!$S$9:$S$71,MATCH($A7,Data_Quality!$A$9:$A$71,0)),0)</f>
        <v>0</v>
      </c>
      <c r="H7" s="6" t="str">
        <f>IFERROR(INDEX(Data_Quality!$T$9:$T$71,MATCH($A7,Data_Quality!$A$9:$A$71,0)),"")</f>
        <v>Excellent - FAA Backfill Pending</v>
      </c>
      <c r="I7" s="6" t="s">
        <v>589</v>
      </c>
    </row>
    <row r="8" spans="1:9">
      <c r="A8" s="6" t="s">
        <v>64</v>
      </c>
      <c r="B8" s="6" t="str">
        <f>IFERROR(INDEX(Data_Quality!$B$9:$B$71,MATCH($A8,Data_Quality!$A$9:$A$71,0)),"")</f>
        <v>Chicago O'Hare International</v>
      </c>
      <c r="C8" s="6" t="str">
        <f>IFERROR(INDEX(Data_Quality!$C$9:$C$71,MATCH($A8,Data_Quality!$A$9:$A$71,0)),"")</f>
        <v>Large</v>
      </c>
      <c r="D8" s="6">
        <f>IFERROR(INDEX(Data_Quality!$D$9:$D$71,MATCH($A8,Data_Quality!$A$9:$A$71,0)),0)</f>
        <v>6</v>
      </c>
      <c r="E8" s="23">
        <f>IFERROR(INDEX(Data_Quality!$R$9:$R$71,MATCH($A8,Data_Quality!$A$9:$A$71,0)),0)</f>
        <v>1</v>
      </c>
      <c r="F8" s="6">
        <f>IFERROR(INDEX(Data_Quality!$Q$9:$Q$71,MATCH($A8,Data_Quality!$A$9:$A$71,0)),0)</f>
        <v>0</v>
      </c>
      <c r="G8" s="23">
        <f>IFERROR(INDEX(Data_Quality!$S$9:$S$71,MATCH($A8,Data_Quality!$A$9:$A$71,0)),0)</f>
        <v>0</v>
      </c>
      <c r="H8" s="6" t="str">
        <f>IFERROR(INDEX(Data_Quality!$T$9:$T$71,MATCH($A8,Data_Quality!$A$9:$A$71,0)),"")</f>
        <v>Excellent - FAA Backfill Pending</v>
      </c>
      <c r="I8" s="6" t="s">
        <v>589</v>
      </c>
    </row>
    <row r="9" spans="1:9">
      <c r="A9" s="6" t="s">
        <v>69</v>
      </c>
      <c r="B9" s="6" t="str">
        <f>IFERROR(INDEX(Data_Quality!$B$9:$B$71,MATCH($A9,Data_Quality!$A$9:$A$71,0)),"")</f>
        <v>Harry Reid International</v>
      </c>
      <c r="C9" s="6" t="str">
        <f>IFERROR(INDEX(Data_Quality!$C$9:$C$71,MATCH($A9,Data_Quality!$A$9:$A$71,0)),"")</f>
        <v>Large</v>
      </c>
      <c r="D9" s="6">
        <f>IFERROR(INDEX(Data_Quality!$D$9:$D$71,MATCH($A9,Data_Quality!$A$9:$A$71,0)),0)</f>
        <v>6</v>
      </c>
      <c r="E9" s="23">
        <f>IFERROR(INDEX(Data_Quality!$R$9:$R$71,MATCH($A9,Data_Quality!$A$9:$A$71,0)),0)</f>
        <v>1</v>
      </c>
      <c r="F9" s="6">
        <f>IFERROR(INDEX(Data_Quality!$Q$9:$Q$71,MATCH($A9,Data_Quality!$A$9:$A$71,0)),0)</f>
        <v>0</v>
      </c>
      <c r="G9" s="23">
        <f>IFERROR(INDEX(Data_Quality!$S$9:$S$71,MATCH($A9,Data_Quality!$A$9:$A$71,0)),0)</f>
        <v>0</v>
      </c>
      <c r="H9" s="6" t="str">
        <f>IFERROR(INDEX(Data_Quality!$T$9:$T$71,MATCH($A9,Data_Quality!$A$9:$A$71,0)),"")</f>
        <v>Excellent - FAA Backfill Pending</v>
      </c>
      <c r="I9" s="6" t="s">
        <v>589</v>
      </c>
    </row>
    <row r="10" spans="1:9">
      <c r="A10" s="6" t="s">
        <v>74</v>
      </c>
      <c r="B10" s="6" t="str">
        <f>IFERROR(INDEX(Data_Quality!$B$9:$B$71,MATCH($A10,Data_Quality!$A$9:$A$71,0)),"")</f>
        <v>Phoenix Sky Harbor International</v>
      </c>
      <c r="C10" s="6" t="str">
        <f>IFERROR(INDEX(Data_Quality!$C$9:$C$71,MATCH($A10,Data_Quality!$A$9:$A$71,0)),"")</f>
        <v>Large</v>
      </c>
      <c r="D10" s="6">
        <f>IFERROR(INDEX(Data_Quality!$D$9:$D$71,MATCH($A10,Data_Quality!$A$9:$A$71,0)),0)</f>
        <v>6</v>
      </c>
      <c r="E10" s="23">
        <f>IFERROR(INDEX(Data_Quality!$R$9:$R$71,MATCH($A10,Data_Quality!$A$9:$A$71,0)),0)</f>
        <v>1</v>
      </c>
      <c r="F10" s="6">
        <f>IFERROR(INDEX(Data_Quality!$Q$9:$Q$71,MATCH($A10,Data_Quality!$A$9:$A$71,0)),0)</f>
        <v>5</v>
      </c>
      <c r="G10" s="23">
        <f>IFERROR(INDEX(Data_Quality!$S$9:$S$71,MATCH($A10,Data_Quality!$A$9:$A$71,0)),0)</f>
        <v>0</v>
      </c>
      <c r="H10" s="6" t="str">
        <f>IFERROR(INDEX(Data_Quality!$T$9:$T$71,MATCH($A10,Data_Quality!$A$9:$A$71,0)),"")</f>
        <v>Excellent - FAA Backfill Pending</v>
      </c>
      <c r="I10" s="6" t="s">
        <v>589</v>
      </c>
    </row>
    <row r="11" spans="1:9">
      <c r="A11" s="6" t="s">
        <v>79</v>
      </c>
      <c r="B11" s="6" t="str">
        <f>IFERROR(INDEX(Data_Quality!$B$9:$B$71,MATCH($A11,Data_Quality!$A$9:$A$71,0)),"")</f>
        <v>Miami International</v>
      </c>
      <c r="C11" s="6" t="str">
        <f>IFERROR(INDEX(Data_Quality!$C$9:$C$71,MATCH($A11,Data_Quality!$A$9:$A$71,0)),"")</f>
        <v>Large</v>
      </c>
      <c r="D11" s="6">
        <f>IFERROR(INDEX(Data_Quality!$D$9:$D$71,MATCH($A11,Data_Quality!$A$9:$A$71,0)),0)</f>
        <v>6</v>
      </c>
      <c r="E11" s="23">
        <f>IFERROR(INDEX(Data_Quality!$R$9:$R$71,MATCH($A11,Data_Quality!$A$9:$A$71,0)),0)</f>
        <v>1</v>
      </c>
      <c r="F11" s="6">
        <f>IFERROR(INDEX(Data_Quality!$Q$9:$Q$71,MATCH($A11,Data_Quality!$A$9:$A$71,0)),0)</f>
        <v>0</v>
      </c>
      <c r="G11" s="23">
        <f>IFERROR(INDEX(Data_Quality!$S$9:$S$71,MATCH($A11,Data_Quality!$A$9:$A$71,0)),0)</f>
        <v>0</v>
      </c>
      <c r="H11" s="6" t="str">
        <f>IFERROR(INDEX(Data_Quality!$T$9:$T$71,MATCH($A11,Data_Quality!$A$9:$A$71,0)),"")</f>
        <v>Excellent - FAA Backfill Pending</v>
      </c>
      <c r="I11" s="6" t="s">
        <v>589</v>
      </c>
    </row>
    <row r="12" spans="1:9">
      <c r="A12" s="6" t="s">
        <v>84</v>
      </c>
      <c r="B12" s="6" t="str">
        <f>IFERROR(INDEX(Data_Quality!$B$9:$B$71,MATCH($A12,Data_Quality!$A$9:$A$71,0)),"")</f>
        <v>San Francisco International</v>
      </c>
      <c r="C12" s="6" t="str">
        <f>IFERROR(INDEX(Data_Quality!$C$9:$C$71,MATCH($A12,Data_Quality!$A$9:$A$71,0)),"")</f>
        <v>Large</v>
      </c>
      <c r="D12" s="6">
        <f>IFERROR(INDEX(Data_Quality!$D$9:$D$71,MATCH($A12,Data_Quality!$A$9:$A$71,0)),0)</f>
        <v>6</v>
      </c>
      <c r="E12" s="23">
        <f>IFERROR(INDEX(Data_Quality!$R$9:$R$71,MATCH($A12,Data_Quality!$A$9:$A$71,0)),0)</f>
        <v>1</v>
      </c>
      <c r="F12" s="6">
        <f>IFERROR(INDEX(Data_Quality!$Q$9:$Q$71,MATCH($A12,Data_Quality!$A$9:$A$71,0)),0)</f>
        <v>0</v>
      </c>
      <c r="G12" s="23">
        <f>IFERROR(INDEX(Data_Quality!$S$9:$S$71,MATCH($A12,Data_Quality!$A$9:$A$71,0)),0)</f>
        <v>0</v>
      </c>
      <c r="H12" s="6" t="str">
        <f>IFERROR(INDEX(Data_Quality!$T$9:$T$71,MATCH($A12,Data_Quality!$A$9:$A$71,0)),"")</f>
        <v>Excellent - FAA Backfill Pending</v>
      </c>
      <c r="I12" s="6" t="s">
        <v>589</v>
      </c>
    </row>
    <row r="13" spans="1:9">
      <c r="A13" s="6" t="s">
        <v>88</v>
      </c>
      <c r="B13" s="6" t="str">
        <f>IFERROR(INDEX(Data_Quality!$B$9:$B$71,MATCH($A13,Data_Quality!$A$9:$A$71,0)),"")</f>
        <v>George Bush Intcntl/Houston</v>
      </c>
      <c r="C13" s="6" t="str">
        <f>IFERROR(INDEX(Data_Quality!$C$9:$C$71,MATCH($A13,Data_Quality!$A$9:$A$71,0)),"")</f>
        <v>Large</v>
      </c>
      <c r="D13" s="6">
        <f>IFERROR(INDEX(Data_Quality!$D$9:$D$71,MATCH($A13,Data_Quality!$A$9:$A$71,0)),0)</f>
        <v>6</v>
      </c>
      <c r="E13" s="23">
        <f>IFERROR(INDEX(Data_Quality!$R$9:$R$71,MATCH($A13,Data_Quality!$A$9:$A$71,0)),0)</f>
        <v>1</v>
      </c>
      <c r="F13" s="6">
        <f>IFERROR(INDEX(Data_Quality!$Q$9:$Q$71,MATCH($A13,Data_Quality!$A$9:$A$71,0)),0)</f>
        <v>0</v>
      </c>
      <c r="G13" s="23">
        <f>IFERROR(INDEX(Data_Quality!$S$9:$S$71,MATCH($A13,Data_Quality!$A$9:$A$71,0)),0)</f>
        <v>0</v>
      </c>
      <c r="H13" s="6" t="str">
        <f>IFERROR(INDEX(Data_Quality!$T$9:$T$71,MATCH($A13,Data_Quality!$A$9:$A$71,0)),"")</f>
        <v>Excellent - FAA Backfill Pending</v>
      </c>
      <c r="I13" s="6" t="s">
        <v>589</v>
      </c>
    </row>
    <row r="14" spans="1:9">
      <c r="A14" s="6" t="s">
        <v>92</v>
      </c>
      <c r="B14" s="6" t="str">
        <f>IFERROR(INDEX(Data_Quality!$B$9:$B$71,MATCH($A14,Data_Quality!$A$9:$A$71,0)),"")</f>
        <v>Orlando International</v>
      </c>
      <c r="C14" s="6" t="str">
        <f>IFERROR(INDEX(Data_Quality!$C$9:$C$71,MATCH($A14,Data_Quality!$A$9:$A$71,0)),"")</f>
        <v>Large</v>
      </c>
      <c r="D14" s="6">
        <f>IFERROR(INDEX(Data_Quality!$D$9:$D$71,MATCH($A14,Data_Quality!$A$9:$A$71,0)),0)</f>
        <v>6</v>
      </c>
      <c r="E14" s="23">
        <f>IFERROR(INDEX(Data_Quality!$R$9:$R$71,MATCH($A14,Data_Quality!$A$9:$A$71,0)),0)</f>
        <v>1</v>
      </c>
      <c r="F14" s="6">
        <f>IFERROR(INDEX(Data_Quality!$Q$9:$Q$71,MATCH($A14,Data_Quality!$A$9:$A$71,0)),0)</f>
        <v>0</v>
      </c>
      <c r="G14" s="23">
        <f>IFERROR(INDEX(Data_Quality!$S$9:$S$71,MATCH($A14,Data_Quality!$A$9:$A$71,0)),0)</f>
        <v>0</v>
      </c>
      <c r="H14" s="6" t="str">
        <f>IFERROR(INDEX(Data_Quality!$T$9:$T$71,MATCH($A14,Data_Quality!$A$9:$A$71,0)),"")</f>
        <v>Excellent - FAA Backfill Pending</v>
      </c>
      <c r="I14" s="6" t="s">
        <v>589</v>
      </c>
    </row>
    <row r="15" spans="1:9">
      <c r="A15" s="6" t="s">
        <v>96</v>
      </c>
      <c r="B15" s="6" t="str">
        <f>IFERROR(INDEX(Data_Quality!$B$9:$B$71,MATCH($A15,Data_Quality!$A$9:$A$71,0)),"")</f>
        <v>Detroit Metro Wayne County</v>
      </c>
      <c r="C15" s="6" t="str">
        <f>IFERROR(INDEX(Data_Quality!$C$9:$C$71,MATCH($A15,Data_Quality!$A$9:$A$71,0)),"")</f>
        <v>Large</v>
      </c>
      <c r="D15" s="6">
        <f>IFERROR(INDEX(Data_Quality!$D$9:$D$71,MATCH($A15,Data_Quality!$A$9:$A$71,0)),0)</f>
        <v>6</v>
      </c>
      <c r="E15" s="23">
        <f>IFERROR(INDEX(Data_Quality!$R$9:$R$71,MATCH($A15,Data_Quality!$A$9:$A$71,0)),0)</f>
        <v>1</v>
      </c>
      <c r="F15" s="6">
        <f>IFERROR(INDEX(Data_Quality!$Q$9:$Q$71,MATCH($A15,Data_Quality!$A$9:$A$71,0)),0)</f>
        <v>0</v>
      </c>
      <c r="G15" s="23">
        <f>IFERROR(INDEX(Data_Quality!$S$9:$S$71,MATCH($A15,Data_Quality!$A$9:$A$71,0)),0)</f>
        <v>0</v>
      </c>
      <c r="H15" s="6" t="str">
        <f>IFERROR(INDEX(Data_Quality!$T$9:$T$71,MATCH($A15,Data_Quality!$A$9:$A$71,0)),"")</f>
        <v>Excellent - FAA Backfill Pending</v>
      </c>
      <c r="I15" s="6" t="s">
        <v>589</v>
      </c>
    </row>
    <row r="16" spans="1:9">
      <c r="A16" s="6" t="s">
        <v>101</v>
      </c>
      <c r="B16" s="6" t="str">
        <f>IFERROR(INDEX(Data_Quality!$B$9:$B$71,MATCH($A16,Data_Quality!$A$9:$A$71,0)),"")</f>
        <v>General Edward Lawrence Logan International</v>
      </c>
      <c r="C16" s="6" t="str">
        <f>IFERROR(INDEX(Data_Quality!$C$9:$C$71,MATCH($A16,Data_Quality!$A$9:$A$71,0)),"")</f>
        <v>Large</v>
      </c>
      <c r="D16" s="6">
        <f>IFERROR(INDEX(Data_Quality!$D$9:$D$71,MATCH($A16,Data_Quality!$A$9:$A$71,0)),0)</f>
        <v>6</v>
      </c>
      <c r="E16" s="23">
        <f>IFERROR(INDEX(Data_Quality!$R$9:$R$71,MATCH($A16,Data_Quality!$A$9:$A$71,0)),0)</f>
        <v>1</v>
      </c>
      <c r="F16" s="6">
        <f>IFERROR(INDEX(Data_Quality!$Q$9:$Q$71,MATCH($A16,Data_Quality!$A$9:$A$71,0)),0)</f>
        <v>0</v>
      </c>
      <c r="G16" s="23">
        <f>IFERROR(INDEX(Data_Quality!$S$9:$S$71,MATCH($A16,Data_Quality!$A$9:$A$71,0)),0)</f>
        <v>0</v>
      </c>
      <c r="H16" s="6" t="str">
        <f>IFERROR(INDEX(Data_Quality!$T$9:$T$71,MATCH($A16,Data_Quality!$A$9:$A$71,0)),"")</f>
        <v>Excellent - FAA Backfill Pending</v>
      </c>
      <c r="I16" s="6" t="s">
        <v>589</v>
      </c>
    </row>
    <row r="17" spans="1:9">
      <c r="A17" s="6" t="s">
        <v>106</v>
      </c>
      <c r="B17" s="6" t="str">
        <f>IFERROR(INDEX(Data_Quality!$B$9:$B$71,MATCH($A17,Data_Quality!$A$9:$A$71,0)),"")</f>
        <v>Fort Lauderdale/Hollywood International</v>
      </c>
      <c r="C17" s="6" t="str">
        <f>IFERROR(INDEX(Data_Quality!$C$9:$C$71,MATCH($A17,Data_Quality!$A$9:$A$71,0)),"")</f>
        <v>Large</v>
      </c>
      <c r="D17" s="6">
        <f>IFERROR(INDEX(Data_Quality!$D$9:$D$71,MATCH($A17,Data_Quality!$A$9:$A$71,0)),0)</f>
        <v>6</v>
      </c>
      <c r="E17" s="23">
        <f>IFERROR(INDEX(Data_Quality!$R$9:$R$71,MATCH($A17,Data_Quality!$A$9:$A$71,0)),0)</f>
        <v>1</v>
      </c>
      <c r="F17" s="6">
        <f>IFERROR(INDEX(Data_Quality!$Q$9:$Q$71,MATCH($A17,Data_Quality!$A$9:$A$71,0)),0)</f>
        <v>0</v>
      </c>
      <c r="G17" s="23">
        <f>IFERROR(INDEX(Data_Quality!$S$9:$S$71,MATCH($A17,Data_Quality!$A$9:$A$71,0)),0)</f>
        <v>0</v>
      </c>
      <c r="H17" s="6" t="str">
        <f>IFERROR(INDEX(Data_Quality!$T$9:$T$71,MATCH($A17,Data_Quality!$A$9:$A$71,0)),"")</f>
        <v>Excellent - FAA Backfill Pending</v>
      </c>
      <c r="I17" s="6" t="s">
        <v>589</v>
      </c>
    </row>
    <row r="18" spans="1:9">
      <c r="A18" s="6" t="s">
        <v>110</v>
      </c>
      <c r="B18" s="6" t="str">
        <f>IFERROR(INDEX(Data_Quality!$B$9:$B$71,MATCH($A18,Data_Quality!$A$9:$A$71,0)),"")</f>
        <v>Philadelphia International</v>
      </c>
      <c r="C18" s="6" t="str">
        <f>IFERROR(INDEX(Data_Quality!$C$9:$C$71,MATCH($A18,Data_Quality!$A$9:$A$71,0)),"")</f>
        <v>Large</v>
      </c>
      <c r="D18" s="6">
        <f>IFERROR(INDEX(Data_Quality!$D$9:$D$71,MATCH($A18,Data_Quality!$A$9:$A$71,0)),0)</f>
        <v>6</v>
      </c>
      <c r="E18" s="23">
        <f>IFERROR(INDEX(Data_Quality!$R$9:$R$71,MATCH($A18,Data_Quality!$A$9:$A$71,0)),0)</f>
        <v>1</v>
      </c>
      <c r="F18" s="6">
        <f>IFERROR(INDEX(Data_Quality!$Q$9:$Q$71,MATCH($A18,Data_Quality!$A$9:$A$71,0)),0)</f>
        <v>0</v>
      </c>
      <c r="G18" s="23">
        <f>IFERROR(INDEX(Data_Quality!$S$9:$S$71,MATCH($A18,Data_Quality!$A$9:$A$71,0)),0)</f>
        <v>0</v>
      </c>
      <c r="H18" s="6" t="str">
        <f>IFERROR(INDEX(Data_Quality!$T$9:$T$71,MATCH($A18,Data_Quality!$A$9:$A$71,0)),"")</f>
        <v>Excellent - FAA Backfill Pending</v>
      </c>
      <c r="I18" s="6" t="s">
        <v>589</v>
      </c>
    </row>
    <row r="19" spans="1:9" ht="28">
      <c r="A19" s="6" t="s">
        <v>115</v>
      </c>
      <c r="B19" s="6" t="str">
        <f>IFERROR(INDEX(Data_Quality!$B$9:$B$71,MATCH($A19,Data_Quality!$A$9:$A$71,0)),"")</f>
        <v>Minneapolis-St Paul International/Wold-Chamberlain</v>
      </c>
      <c r="C19" s="6" t="str">
        <f>IFERROR(INDEX(Data_Quality!$C$9:$C$71,MATCH($A19,Data_Quality!$A$9:$A$71,0)),"")</f>
        <v>Large</v>
      </c>
      <c r="D19" s="6">
        <f>IFERROR(INDEX(Data_Quality!$D$9:$D$71,MATCH($A19,Data_Quality!$A$9:$A$71,0)),0)</f>
        <v>6</v>
      </c>
      <c r="E19" s="23">
        <f>IFERROR(INDEX(Data_Quality!$R$9:$R$71,MATCH($A19,Data_Quality!$A$9:$A$71,0)),0)</f>
        <v>1</v>
      </c>
      <c r="F19" s="6">
        <f>IFERROR(INDEX(Data_Quality!$Q$9:$Q$71,MATCH($A19,Data_Quality!$A$9:$A$71,0)),0)</f>
        <v>0</v>
      </c>
      <c r="G19" s="23">
        <f>IFERROR(INDEX(Data_Quality!$S$9:$S$71,MATCH($A19,Data_Quality!$A$9:$A$71,0)),0)</f>
        <v>0</v>
      </c>
      <c r="H19" s="6" t="str">
        <f>IFERROR(INDEX(Data_Quality!$T$9:$T$71,MATCH($A19,Data_Quality!$A$9:$A$71,0)),"")</f>
        <v>Excellent - FAA Backfill Pending</v>
      </c>
      <c r="I19" s="6" t="s">
        <v>589</v>
      </c>
    </row>
    <row r="20" spans="1:9">
      <c r="A20" s="6" t="s">
        <v>120</v>
      </c>
      <c r="B20" s="6" t="str">
        <f>IFERROR(INDEX(Data_Quality!$B$9:$B$71,MATCH($A20,Data_Quality!$A$9:$A$71,0)),"")</f>
        <v>Salt Lake City International</v>
      </c>
      <c r="C20" s="6" t="str">
        <f>IFERROR(INDEX(Data_Quality!$C$9:$C$71,MATCH($A20,Data_Quality!$A$9:$A$71,0)),"")</f>
        <v>Large</v>
      </c>
      <c r="D20" s="6">
        <f>IFERROR(INDEX(Data_Quality!$D$9:$D$71,MATCH($A20,Data_Quality!$A$9:$A$71,0)),0)</f>
        <v>6</v>
      </c>
      <c r="E20" s="23">
        <f>IFERROR(INDEX(Data_Quality!$R$9:$R$71,MATCH($A20,Data_Quality!$A$9:$A$71,0)),0)</f>
        <v>1</v>
      </c>
      <c r="F20" s="6">
        <f>IFERROR(INDEX(Data_Quality!$Q$9:$Q$71,MATCH($A20,Data_Quality!$A$9:$A$71,0)),0)</f>
        <v>0</v>
      </c>
      <c r="G20" s="23">
        <f>IFERROR(INDEX(Data_Quality!$S$9:$S$71,MATCH($A20,Data_Quality!$A$9:$A$71,0)),0)</f>
        <v>0</v>
      </c>
      <c r="H20" s="6" t="str">
        <f>IFERROR(INDEX(Data_Quality!$T$9:$T$71,MATCH($A20,Data_Quality!$A$9:$A$71,0)),"")</f>
        <v>Excellent - FAA Backfill Pending</v>
      </c>
      <c r="I20" s="6" t="s">
        <v>589</v>
      </c>
    </row>
    <row r="21" spans="1:9" ht="28">
      <c r="A21" s="6" t="s">
        <v>125</v>
      </c>
      <c r="B21" s="6" t="str">
        <f>IFERROR(INDEX(Data_Quality!$B$9:$B$71,MATCH($A21,Data_Quality!$A$9:$A$71,0)),"")</f>
        <v>Baltimore/Washington International Thurgood Marshall</v>
      </c>
      <c r="C21" s="6" t="str">
        <f>IFERROR(INDEX(Data_Quality!$C$9:$C$71,MATCH($A21,Data_Quality!$A$9:$A$71,0)),"")</f>
        <v>Large</v>
      </c>
      <c r="D21" s="6">
        <f>IFERROR(INDEX(Data_Quality!$D$9:$D$71,MATCH($A21,Data_Quality!$A$9:$A$71,0)),0)</f>
        <v>6</v>
      </c>
      <c r="E21" s="23">
        <f>IFERROR(INDEX(Data_Quality!$R$9:$R$71,MATCH($A21,Data_Quality!$A$9:$A$71,0)),0)</f>
        <v>1</v>
      </c>
      <c r="F21" s="6">
        <f>IFERROR(INDEX(Data_Quality!$Q$9:$Q$71,MATCH($A21,Data_Quality!$A$9:$A$71,0)),0)</f>
        <v>0</v>
      </c>
      <c r="G21" s="23">
        <f>IFERROR(INDEX(Data_Quality!$S$9:$S$71,MATCH($A21,Data_Quality!$A$9:$A$71,0)),0)</f>
        <v>0</v>
      </c>
      <c r="H21" s="6" t="str">
        <f>IFERROR(INDEX(Data_Quality!$T$9:$T$71,MATCH($A21,Data_Quality!$A$9:$A$71,0)),"")</f>
        <v>Excellent - FAA Backfill Pending</v>
      </c>
      <c r="I21" s="6" t="s">
        <v>589</v>
      </c>
    </row>
    <row r="22" spans="1:9">
      <c r="A22" s="6" t="s">
        <v>130</v>
      </c>
      <c r="B22" s="6" t="str">
        <f>IFERROR(INDEX(Data_Quality!$B$9:$B$71,MATCH($A22,Data_Quality!$A$9:$A$71,0)),"")</f>
        <v>Tampa International</v>
      </c>
      <c r="C22" s="6" t="str">
        <f>IFERROR(INDEX(Data_Quality!$C$9:$C$71,MATCH($A22,Data_Quality!$A$9:$A$71,0)),"")</f>
        <v>Large</v>
      </c>
      <c r="D22" s="6">
        <f>IFERROR(INDEX(Data_Quality!$D$9:$D$71,MATCH($A22,Data_Quality!$A$9:$A$71,0)),0)</f>
        <v>6</v>
      </c>
      <c r="E22" s="23">
        <f>IFERROR(INDEX(Data_Quality!$R$9:$R$71,MATCH($A22,Data_Quality!$A$9:$A$71,0)),0)</f>
        <v>1</v>
      </c>
      <c r="F22" s="6">
        <f>IFERROR(INDEX(Data_Quality!$Q$9:$Q$71,MATCH($A22,Data_Quality!$A$9:$A$71,0)),0)</f>
        <v>0</v>
      </c>
      <c r="G22" s="23">
        <f>IFERROR(INDEX(Data_Quality!$S$9:$S$71,MATCH($A22,Data_Quality!$A$9:$A$71,0)),0)</f>
        <v>0</v>
      </c>
      <c r="H22" s="6" t="str">
        <f>IFERROR(INDEX(Data_Quality!$T$9:$T$71,MATCH($A22,Data_Quality!$A$9:$A$71,0)),"")</f>
        <v>Excellent - FAA Backfill Pending</v>
      </c>
      <c r="I22" s="6" t="s">
        <v>589</v>
      </c>
    </row>
    <row r="23" spans="1:9">
      <c r="A23" s="6" t="s">
        <v>134</v>
      </c>
      <c r="B23" s="6" t="str">
        <f>IFERROR(INDEX(Data_Quality!$B$9:$B$71,MATCH($A23,Data_Quality!$A$9:$A$71,0)),"")</f>
        <v>Austin-Bergstrom International</v>
      </c>
      <c r="C23" s="6" t="str">
        <f>IFERROR(INDEX(Data_Quality!$C$9:$C$71,MATCH($A23,Data_Quality!$A$9:$A$71,0)),"")</f>
        <v>Large</v>
      </c>
      <c r="D23" s="6">
        <f>IFERROR(INDEX(Data_Quality!$D$9:$D$71,MATCH($A23,Data_Quality!$A$9:$A$71,0)),0)</f>
        <v>6</v>
      </c>
      <c r="E23" s="23">
        <f>IFERROR(INDEX(Data_Quality!$R$9:$R$71,MATCH($A23,Data_Quality!$A$9:$A$71,0)),0)</f>
        <v>1</v>
      </c>
      <c r="F23" s="6">
        <f>IFERROR(INDEX(Data_Quality!$Q$9:$Q$71,MATCH($A23,Data_Quality!$A$9:$A$71,0)),0)</f>
        <v>0</v>
      </c>
      <c r="G23" s="23">
        <f>IFERROR(INDEX(Data_Quality!$S$9:$S$71,MATCH($A23,Data_Quality!$A$9:$A$71,0)),0)</f>
        <v>0</v>
      </c>
      <c r="H23" s="6" t="str">
        <f>IFERROR(INDEX(Data_Quality!$T$9:$T$71,MATCH($A23,Data_Quality!$A$9:$A$71,0)),"")</f>
        <v>Excellent - FAA Backfill Pending</v>
      </c>
      <c r="I23" s="6" t="s">
        <v>589</v>
      </c>
    </row>
    <row r="24" spans="1:9">
      <c r="A24" s="6" t="s">
        <v>138</v>
      </c>
      <c r="B24" s="6" t="str">
        <f>IFERROR(INDEX(Data_Quality!$B$9:$B$71,MATCH($A24,Data_Quality!$A$9:$A$71,0)),"")</f>
        <v>San Diego International</v>
      </c>
      <c r="C24" s="6" t="str">
        <f>IFERROR(INDEX(Data_Quality!$C$9:$C$71,MATCH($A24,Data_Quality!$A$9:$A$71,0)),"")</f>
        <v>Large</v>
      </c>
      <c r="D24" s="6">
        <f>IFERROR(INDEX(Data_Quality!$D$9:$D$71,MATCH($A24,Data_Quality!$A$9:$A$71,0)),0)</f>
        <v>6</v>
      </c>
      <c r="E24" s="23">
        <f>IFERROR(INDEX(Data_Quality!$R$9:$R$71,MATCH($A24,Data_Quality!$A$9:$A$71,0)),0)</f>
        <v>1</v>
      </c>
      <c r="F24" s="6">
        <f>IFERROR(INDEX(Data_Quality!$Q$9:$Q$71,MATCH($A24,Data_Quality!$A$9:$A$71,0)),0)</f>
        <v>0</v>
      </c>
      <c r="G24" s="23">
        <f>IFERROR(INDEX(Data_Quality!$S$9:$S$71,MATCH($A24,Data_Quality!$A$9:$A$71,0)),0)</f>
        <v>0</v>
      </c>
      <c r="H24" s="6" t="str">
        <f>IFERROR(INDEX(Data_Quality!$T$9:$T$71,MATCH($A24,Data_Quality!$A$9:$A$71,0)),"")</f>
        <v>Excellent - FAA Backfill Pending</v>
      </c>
      <c r="I24" s="6" t="s">
        <v>589</v>
      </c>
    </row>
    <row r="25" spans="1:9">
      <c r="A25" s="6" t="s">
        <v>142</v>
      </c>
      <c r="B25" s="6" t="str">
        <f>IFERROR(INDEX(Data_Quality!$B$9:$B$71,MATCH($A25,Data_Quality!$A$9:$A$71,0)),"")</f>
        <v>Nashville International</v>
      </c>
      <c r="C25" s="6" t="str">
        <f>IFERROR(INDEX(Data_Quality!$C$9:$C$71,MATCH($A25,Data_Quality!$A$9:$A$71,0)),"")</f>
        <v>Large</v>
      </c>
      <c r="D25" s="6">
        <f>IFERROR(INDEX(Data_Quality!$D$9:$D$71,MATCH($A25,Data_Quality!$A$9:$A$71,0)),0)</f>
        <v>6</v>
      </c>
      <c r="E25" s="23">
        <f>IFERROR(INDEX(Data_Quality!$R$9:$R$71,MATCH($A25,Data_Quality!$A$9:$A$71,0)),0)</f>
        <v>1</v>
      </c>
      <c r="F25" s="6">
        <f>IFERROR(INDEX(Data_Quality!$Q$9:$Q$71,MATCH($A25,Data_Quality!$A$9:$A$71,0)),0)</f>
        <v>0</v>
      </c>
      <c r="G25" s="23">
        <f>IFERROR(INDEX(Data_Quality!$S$9:$S$71,MATCH($A25,Data_Quality!$A$9:$A$71,0)),0)</f>
        <v>0</v>
      </c>
      <c r="H25" s="6" t="str">
        <f>IFERROR(INDEX(Data_Quality!$T$9:$T$71,MATCH($A25,Data_Quality!$A$9:$A$71,0)),"")</f>
        <v>Excellent - FAA Backfill Pending</v>
      </c>
      <c r="I25" s="6" t="s">
        <v>589</v>
      </c>
    </row>
    <row r="26" spans="1:9">
      <c r="A26" s="6" t="s">
        <v>147</v>
      </c>
      <c r="B26" s="6" t="str">
        <f>IFERROR(INDEX(Data_Quality!$B$9:$B$71,MATCH($A26,Data_Quality!$A$9:$A$71,0)),"")</f>
        <v>Dallas Love Field</v>
      </c>
      <c r="C26" s="6" t="str">
        <f>IFERROR(INDEX(Data_Quality!$C$9:$C$71,MATCH($A26,Data_Quality!$A$9:$A$71,0)),"")</f>
        <v>Medium</v>
      </c>
      <c r="D26" s="6">
        <f>IFERROR(INDEX(Data_Quality!$D$9:$D$71,MATCH($A26,Data_Quality!$A$9:$A$71,0)),0)</f>
        <v>6</v>
      </c>
      <c r="E26" s="23">
        <f>IFERROR(INDEX(Data_Quality!$R$9:$R$71,MATCH($A26,Data_Quality!$A$9:$A$71,0)),0)</f>
        <v>1</v>
      </c>
      <c r="F26" s="6">
        <f>IFERROR(INDEX(Data_Quality!$Q$9:$Q$71,MATCH($A26,Data_Quality!$A$9:$A$71,0)),0)</f>
        <v>0</v>
      </c>
      <c r="G26" s="23">
        <f>IFERROR(INDEX(Data_Quality!$S$9:$S$71,MATCH($A26,Data_Quality!$A$9:$A$71,0)),0)</f>
        <v>0</v>
      </c>
      <c r="H26" s="6" t="str">
        <f>IFERROR(INDEX(Data_Quality!$T$9:$T$71,MATCH($A26,Data_Quality!$A$9:$A$71,0)),"")</f>
        <v>Excellent - FAA Backfill Pending</v>
      </c>
      <c r="I26" s="6" t="s">
        <v>589</v>
      </c>
    </row>
    <row r="27" spans="1:9" ht="28">
      <c r="A27" s="6" t="s">
        <v>151</v>
      </c>
      <c r="B27" s="6" t="str">
        <f>IFERROR(INDEX(Data_Quality!$B$9:$B$71,MATCH($A27,Data_Quality!$A$9:$A$71,0)),"")</f>
        <v>Charlotte/Douglas International</v>
      </c>
      <c r="C27" s="6" t="str">
        <f>IFERROR(INDEX(Data_Quality!$C$9:$C$71,MATCH($A27,Data_Quality!$A$9:$A$71,0)),"")</f>
        <v>Large</v>
      </c>
      <c r="D27" s="6">
        <f>IFERROR(INDEX(Data_Quality!$D$9:$D$71,MATCH($A27,Data_Quality!$A$9:$A$71,0)),0)</f>
        <v>6</v>
      </c>
      <c r="E27" s="23">
        <f>IFERROR(INDEX(Data_Quality!$R$9:$R$71,MATCH($A27,Data_Quality!$A$9:$A$71,0)),0)</f>
        <v>1</v>
      </c>
      <c r="F27" s="6">
        <f>IFERROR(INDEX(Data_Quality!$Q$9:$Q$71,MATCH($A27,Data_Quality!$A$9:$A$71,0)),0)</f>
        <v>0</v>
      </c>
      <c r="G27" s="23">
        <f>IFERROR(INDEX(Data_Quality!$S$9:$S$71,MATCH($A27,Data_Quality!$A$9:$A$71,0)),0)</f>
        <v>0</v>
      </c>
      <c r="H27" s="6" t="str">
        <f>IFERROR(INDEX(Data_Quality!$T$9:$T$71,MATCH($A27,Data_Quality!$A$9:$A$71,0)),"")</f>
        <v>Excellent - FAA Backfill Pending</v>
      </c>
      <c r="I27" s="6" t="s">
        <v>157</v>
      </c>
    </row>
    <row r="28" spans="1:9" ht="28">
      <c r="A28" s="6" t="s">
        <v>158</v>
      </c>
      <c r="B28" s="6" t="str">
        <f>IFERROR(INDEX(Data_Quality!$B$9:$B$71,MATCH($A28,Data_Quality!$A$9:$A$71,0)),"")</f>
        <v>John F Kennedy International</v>
      </c>
      <c r="C28" s="6" t="str">
        <f>IFERROR(INDEX(Data_Quality!$C$9:$C$71,MATCH($A28,Data_Quality!$A$9:$A$71,0)),"")</f>
        <v>Large</v>
      </c>
      <c r="D28" s="6">
        <f>IFERROR(INDEX(Data_Quality!$D$9:$D$71,MATCH($A28,Data_Quality!$A$9:$A$71,0)),0)</f>
        <v>6</v>
      </c>
      <c r="E28" s="23">
        <f>IFERROR(INDEX(Data_Quality!$R$9:$R$71,MATCH($A28,Data_Quality!$A$9:$A$71,0)),0)</f>
        <v>1</v>
      </c>
      <c r="F28" s="6">
        <f>IFERROR(INDEX(Data_Quality!$Q$9:$Q$71,MATCH($A28,Data_Quality!$A$9:$A$71,0)),0)</f>
        <v>0</v>
      </c>
      <c r="G28" s="23">
        <f>IFERROR(INDEX(Data_Quality!$S$9:$S$71,MATCH($A28,Data_Quality!$A$9:$A$71,0)),0)</f>
        <v>0</v>
      </c>
      <c r="H28" s="6" t="str">
        <f>IFERROR(INDEX(Data_Quality!$T$9:$T$71,MATCH($A28,Data_Quality!$A$9:$A$71,0)),"")</f>
        <v>Excellent - FAA Backfill Pending</v>
      </c>
      <c r="I28" s="6" t="s">
        <v>163</v>
      </c>
    </row>
    <row r="29" spans="1:9" ht="28">
      <c r="A29" s="6" t="s">
        <v>164</v>
      </c>
      <c r="B29" s="6" t="str">
        <f>IFERROR(INDEX(Data_Quality!$B$9:$B$71,MATCH($A29,Data_Quality!$A$9:$A$71,0)),"")</f>
        <v>Newark Liberty International</v>
      </c>
      <c r="C29" s="6" t="str">
        <f>IFERROR(INDEX(Data_Quality!$C$9:$C$71,MATCH($A29,Data_Quality!$A$9:$A$71,0)),"")</f>
        <v>Large</v>
      </c>
      <c r="D29" s="6">
        <f>IFERROR(INDEX(Data_Quality!$D$9:$D$71,MATCH($A29,Data_Quality!$A$9:$A$71,0)),0)</f>
        <v>6</v>
      </c>
      <c r="E29" s="23">
        <f>IFERROR(INDEX(Data_Quality!$R$9:$R$71,MATCH($A29,Data_Quality!$A$9:$A$71,0)),0)</f>
        <v>1</v>
      </c>
      <c r="F29" s="6">
        <f>IFERROR(INDEX(Data_Quality!$Q$9:$Q$71,MATCH($A29,Data_Quality!$A$9:$A$71,0)),0)</f>
        <v>0</v>
      </c>
      <c r="G29" s="23">
        <f>IFERROR(INDEX(Data_Quality!$S$9:$S$71,MATCH($A29,Data_Quality!$A$9:$A$71,0)),0)</f>
        <v>0</v>
      </c>
      <c r="H29" s="6" t="str">
        <f>IFERROR(INDEX(Data_Quality!$T$9:$T$71,MATCH($A29,Data_Quality!$A$9:$A$71,0)),"")</f>
        <v>Excellent - FAA Backfill Pending</v>
      </c>
      <c r="I29" s="6" t="s">
        <v>169</v>
      </c>
    </row>
    <row r="30" spans="1:9" ht="28">
      <c r="A30" s="6" t="s">
        <v>170</v>
      </c>
      <c r="B30" s="6" t="str">
        <f>IFERROR(INDEX(Data_Quality!$B$9:$B$71,MATCH($A30,Data_Quality!$A$9:$A$71,0)),"")</f>
        <v>Laguardia</v>
      </c>
      <c r="C30" s="6" t="str">
        <f>IFERROR(INDEX(Data_Quality!$C$9:$C$71,MATCH($A30,Data_Quality!$A$9:$A$71,0)),"")</f>
        <v>Large</v>
      </c>
      <c r="D30" s="6">
        <f>IFERROR(INDEX(Data_Quality!$D$9:$D$71,MATCH($A30,Data_Quality!$A$9:$A$71,0)),0)</f>
        <v>6</v>
      </c>
      <c r="E30" s="23">
        <f>IFERROR(INDEX(Data_Quality!$R$9:$R$71,MATCH($A30,Data_Quality!$A$9:$A$71,0)),0)</f>
        <v>1</v>
      </c>
      <c r="F30" s="6">
        <f>IFERROR(INDEX(Data_Quality!$Q$9:$Q$71,MATCH($A30,Data_Quality!$A$9:$A$71,0)),0)</f>
        <v>0</v>
      </c>
      <c r="G30" s="23">
        <f>IFERROR(INDEX(Data_Quality!$S$9:$S$71,MATCH($A30,Data_Quality!$A$9:$A$71,0)),0)</f>
        <v>0</v>
      </c>
      <c r="H30" s="6" t="str">
        <f>IFERROR(INDEX(Data_Quality!$T$9:$T$71,MATCH($A30,Data_Quality!$A$9:$A$71,0)),"")</f>
        <v>Excellent - FAA Backfill Pending</v>
      </c>
      <c r="I30" s="6" t="s">
        <v>169</v>
      </c>
    </row>
    <row r="31" spans="1:9" ht="28">
      <c r="A31" s="6" t="s">
        <v>173</v>
      </c>
      <c r="B31" s="6" t="str">
        <f>IFERROR(INDEX(Data_Quality!$B$9:$B$71,MATCH($A31,Data_Quality!$A$9:$A$71,0)),"")</f>
        <v>Washington Dulles International</v>
      </c>
      <c r="C31" s="6" t="str">
        <f>IFERROR(INDEX(Data_Quality!$C$9:$C$71,MATCH($A31,Data_Quality!$A$9:$A$71,0)),"")</f>
        <v>Large</v>
      </c>
      <c r="D31" s="6">
        <f>IFERROR(INDEX(Data_Quality!$D$9:$D$71,MATCH($A31,Data_Quality!$A$9:$A$71,0)),0)</f>
        <v>6</v>
      </c>
      <c r="E31" s="23">
        <f>IFERROR(INDEX(Data_Quality!$R$9:$R$71,MATCH($A31,Data_Quality!$A$9:$A$71,0)),0)</f>
        <v>1</v>
      </c>
      <c r="F31" s="6">
        <f>IFERROR(INDEX(Data_Quality!$Q$9:$Q$71,MATCH($A31,Data_Quality!$A$9:$A$71,0)),0)</f>
        <v>0</v>
      </c>
      <c r="G31" s="23">
        <f>IFERROR(INDEX(Data_Quality!$S$9:$S$71,MATCH($A31,Data_Quality!$A$9:$A$71,0)),0)</f>
        <v>0</v>
      </c>
      <c r="H31" s="6" t="str">
        <f>IFERROR(INDEX(Data_Quality!$T$9:$T$71,MATCH($A31,Data_Quality!$A$9:$A$71,0)),"")</f>
        <v>Excellent - FAA Backfill Pending</v>
      </c>
      <c r="I31" s="6" t="s">
        <v>178</v>
      </c>
    </row>
    <row r="32" spans="1:9" ht="28">
      <c r="A32" s="6" t="s">
        <v>179</v>
      </c>
      <c r="B32" s="6" t="str">
        <f>IFERROR(INDEX(Data_Quality!$B$9:$B$71,MATCH($A32,Data_Quality!$A$9:$A$71,0)),"")</f>
        <v>Ronald Reagan Washington Ntl</v>
      </c>
      <c r="C32" s="6" t="str">
        <f>IFERROR(INDEX(Data_Quality!$C$9:$C$71,MATCH($A32,Data_Quality!$A$9:$A$71,0)),"")</f>
        <v>Large</v>
      </c>
      <c r="D32" s="6">
        <f>IFERROR(INDEX(Data_Quality!$D$9:$D$71,MATCH($A32,Data_Quality!$A$9:$A$71,0)),0)</f>
        <v>6</v>
      </c>
      <c r="E32" s="23">
        <f>IFERROR(INDEX(Data_Quality!$R$9:$R$71,MATCH($A32,Data_Quality!$A$9:$A$71,0)),0)</f>
        <v>1</v>
      </c>
      <c r="F32" s="6">
        <f>IFERROR(INDEX(Data_Quality!$Q$9:$Q$71,MATCH($A32,Data_Quality!$A$9:$A$71,0)),0)</f>
        <v>0</v>
      </c>
      <c r="G32" s="23">
        <f>IFERROR(INDEX(Data_Quality!$S$9:$S$71,MATCH($A32,Data_Quality!$A$9:$A$71,0)),0)</f>
        <v>0</v>
      </c>
      <c r="H32" s="6" t="str">
        <f>IFERROR(INDEX(Data_Quality!$T$9:$T$71,MATCH($A32,Data_Quality!$A$9:$A$71,0)),"")</f>
        <v>Excellent - FAA Backfill Pending</v>
      </c>
      <c r="I32" s="6" t="s">
        <v>178</v>
      </c>
    </row>
    <row r="33" spans="1:9" ht="28">
      <c r="A33" s="6" t="s">
        <v>183</v>
      </c>
      <c r="B33" s="6" t="str">
        <f>IFERROR(INDEX(Data_Quality!$B$9:$B$71,MATCH($A33,Data_Quality!$A$9:$A$71,0)),"")</f>
        <v>Daniel K Inouye International</v>
      </c>
      <c r="C33" s="6" t="str">
        <f>IFERROR(INDEX(Data_Quality!$C$9:$C$71,MATCH($A33,Data_Quality!$A$9:$A$71,0)),"")</f>
        <v>Large</v>
      </c>
      <c r="D33" s="6">
        <f>IFERROR(INDEX(Data_Quality!$D$9:$D$71,MATCH($A33,Data_Quality!$A$9:$A$71,0)),0)</f>
        <v>6</v>
      </c>
      <c r="E33" s="23">
        <f>IFERROR(INDEX(Data_Quality!$R$9:$R$71,MATCH($A33,Data_Quality!$A$9:$A$71,0)),0)</f>
        <v>1</v>
      </c>
      <c r="F33" s="6">
        <f>IFERROR(INDEX(Data_Quality!$Q$9:$Q$71,MATCH($A33,Data_Quality!$A$9:$A$71,0)),0)</f>
        <v>0</v>
      </c>
      <c r="G33" s="23">
        <f>IFERROR(INDEX(Data_Quality!$S$9:$S$71,MATCH($A33,Data_Quality!$A$9:$A$71,0)),0)</f>
        <v>0</v>
      </c>
      <c r="H33" s="6" t="str">
        <f>IFERROR(INDEX(Data_Quality!$T$9:$T$71,MATCH($A33,Data_Quality!$A$9:$A$71,0)),"")</f>
        <v>Excellent - FAA Backfill Pending</v>
      </c>
      <c r="I33" s="6" t="s">
        <v>188</v>
      </c>
    </row>
    <row r="34" spans="1:9" ht="28">
      <c r="A34" s="6" t="s">
        <v>189</v>
      </c>
      <c r="B34" s="6" t="str">
        <f>IFERROR(INDEX(Data_Quality!$B$9:$B$71,MATCH($A34,Data_Quality!$A$9:$A$71,0)),"")</f>
        <v>Chicago Midway International</v>
      </c>
      <c r="C34" s="6" t="str">
        <f>IFERROR(INDEX(Data_Quality!$C$9:$C$71,MATCH($A34,Data_Quality!$A$9:$A$71,0)),"")</f>
        <v>Large</v>
      </c>
      <c r="D34" s="6">
        <f>IFERROR(INDEX(Data_Quality!$D$9:$D$71,MATCH($A34,Data_Quality!$A$9:$A$71,0)),0)</f>
        <v>6</v>
      </c>
      <c r="E34" s="23">
        <f>IFERROR(INDEX(Data_Quality!$R$9:$R$71,MATCH($A34,Data_Quality!$A$9:$A$71,0)),0)</f>
        <v>1</v>
      </c>
      <c r="F34" s="6">
        <f>IFERROR(INDEX(Data_Quality!$Q$9:$Q$71,MATCH($A34,Data_Quality!$A$9:$A$71,0)),0)</f>
        <v>0</v>
      </c>
      <c r="G34" s="23">
        <f>IFERROR(INDEX(Data_Quality!$S$9:$S$71,MATCH($A34,Data_Quality!$A$9:$A$71,0)),0)</f>
        <v>0</v>
      </c>
      <c r="H34" s="6" t="str">
        <f>IFERROR(INDEX(Data_Quality!$T$9:$T$71,MATCH($A34,Data_Quality!$A$9:$A$71,0)),"")</f>
        <v>Excellent - FAA Backfill Pending</v>
      </c>
      <c r="I34" s="6" t="s">
        <v>157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48"/>
  <sheetViews>
    <sheetView workbookViewId="0"/>
  </sheetViews>
  <sheetFormatPr defaultRowHeight="14"/>
  <cols>
    <col min="1" max="1" width="12" customWidth="1"/>
    <col min="2" max="2" width="40" customWidth="1"/>
    <col min="3" max="3" width="11" customWidth="1"/>
    <col min="4" max="4" width="14" customWidth="1"/>
    <col min="5" max="5" width="11" customWidth="1"/>
    <col min="6" max="6" width="13" customWidth="1"/>
    <col min="7" max="7" width="20" customWidth="1"/>
    <col min="8" max="8" width="48" customWidth="1"/>
    <col min="9" max="9" width="52" customWidth="1"/>
    <col min="10" max="10" width="28" customWidth="1"/>
    <col min="11" max="11" width="58" customWidth="1"/>
  </cols>
  <sheetData>
    <row r="1" spans="1:11" ht="17.399999999999999" customHeight="1">
      <c r="A1" s="51" t="s">
        <v>590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1" ht="28" customHeight="1">
      <c r="A2" s="52" t="s">
        <v>591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4" spans="1:11" ht="28">
      <c r="A4" s="33" t="s">
        <v>501</v>
      </c>
      <c r="B4" s="33" t="s">
        <v>592</v>
      </c>
      <c r="C4" s="33" t="s">
        <v>593</v>
      </c>
      <c r="D4" s="33" t="s">
        <v>594</v>
      </c>
      <c r="E4" s="33" t="s">
        <v>595</v>
      </c>
      <c r="F4" s="33" t="s">
        <v>596</v>
      </c>
    </row>
    <row r="5" spans="1:11" ht="15.5">
      <c r="A5" s="34">
        <f>COUNTA(Candidate_Set_33!$A$2:$A$34)</f>
        <v>33</v>
      </c>
      <c r="B5" s="34">
        <f>COUNTIF($D$9:$D$41,"Yes")</f>
        <v>31</v>
      </c>
      <c r="C5" s="34">
        <f>COUNTIF($D$9:$D$41,"Reserve")</f>
        <v>2</v>
      </c>
      <c r="D5" s="34">
        <f>6</f>
        <v>6</v>
      </c>
      <c r="E5" s="34">
        <f>B5*D5</f>
        <v>186</v>
      </c>
      <c r="F5" s="34" t="str">
        <f>"All FAA Large Hubs"</f>
        <v>All FAA Large Hubs</v>
      </c>
    </row>
    <row r="8" spans="1:11" ht="28">
      <c r="A8" s="36" t="s">
        <v>0</v>
      </c>
      <c r="B8" s="36" t="s">
        <v>1</v>
      </c>
      <c r="C8" s="36" t="s">
        <v>4</v>
      </c>
      <c r="D8" s="36" t="s">
        <v>597</v>
      </c>
      <c r="E8" s="36" t="s">
        <v>598</v>
      </c>
      <c r="F8" s="36" t="s">
        <v>480</v>
      </c>
      <c r="G8" s="36" t="s">
        <v>535</v>
      </c>
      <c r="H8" s="36" t="s">
        <v>599</v>
      </c>
      <c r="I8" s="36" t="s">
        <v>600</v>
      </c>
      <c r="J8" s="36" t="s">
        <v>601</v>
      </c>
      <c r="K8" s="36" t="s">
        <v>576</v>
      </c>
    </row>
    <row r="9" spans="1:11" ht="28">
      <c r="A9" s="6" t="str">
        <f>Candidate_Set_33!A2</f>
        <v>ATL</v>
      </c>
      <c r="B9" s="6" t="str">
        <f>Candidate_Set_33!B2</f>
        <v>Hartsfield/Jackson Atlanta International</v>
      </c>
      <c r="C9" s="6" t="str">
        <f>Candidate_Set_33!C2</f>
        <v>Large</v>
      </c>
      <c r="D9" s="6" t="str">
        <f t="shared" ref="D9:D41" si="0">IF(C9="Large","Yes","Reserve")</f>
        <v>Yes</v>
      </c>
      <c r="E9" s="6">
        <f>IFERROR(INDEX(Airport_Master!$K$2:$K$64,MATCH(A9,Airport_Master!$A$2:$A$64,0)),"")</f>
        <v>1</v>
      </c>
      <c r="F9" s="6">
        <f>Candidate_Set_33!D2</f>
        <v>6</v>
      </c>
      <c r="G9" s="23">
        <f>Candidate_Set_33!E2</f>
        <v>1</v>
      </c>
      <c r="H9" s="6" t="s">
        <v>602</v>
      </c>
      <c r="I9" s="6" t="s">
        <v>603</v>
      </c>
      <c r="J9" s="6" t="str">
        <f t="shared" ref="J9:J41" si="1">IF(D9="Yes","Include in dashboard &amp; SQL analysis","Reserve / QA only")</f>
        <v>Include in dashboard &amp; SQL analysis</v>
      </c>
      <c r="K9" s="6" t="str">
        <f t="shared" ref="K9:K41" si="2">IF(D9="Yes","Complete 2019–2024 Large-Hub peer; retained for full-population benchmarking","Medium-Hub airport retained only for validation / potential replacement")</f>
        <v>Complete 2019–2024 Large-Hub peer; retained for full-population benchmarking</v>
      </c>
    </row>
    <row r="10" spans="1:11" ht="28">
      <c r="A10" s="6" t="str">
        <f>Candidate_Set_33!A3</f>
        <v>DFW</v>
      </c>
      <c r="B10" s="6" t="str">
        <f>Candidate_Set_33!B3</f>
        <v>Dallas-Fort Worth International</v>
      </c>
      <c r="C10" s="6" t="str">
        <f>Candidate_Set_33!C3</f>
        <v>Large</v>
      </c>
      <c r="D10" s="6" t="str">
        <f t="shared" si="0"/>
        <v>Yes</v>
      </c>
      <c r="E10" s="6">
        <f>IFERROR(INDEX(Airport_Master!$K$2:$K$64,MATCH(A10,Airport_Master!$A$2:$A$64,0)),"")</f>
        <v>2</v>
      </c>
      <c r="F10" s="6">
        <f>Candidate_Set_33!D3</f>
        <v>6</v>
      </c>
      <c r="G10" s="23">
        <f>Candidate_Set_33!E3</f>
        <v>1</v>
      </c>
      <c r="H10" s="6" t="s">
        <v>602</v>
      </c>
      <c r="I10" s="6" t="s">
        <v>603</v>
      </c>
      <c r="J10" s="6" t="str">
        <f t="shared" si="1"/>
        <v>Include in dashboard &amp; SQL analysis</v>
      </c>
      <c r="K10" s="6" t="str">
        <f t="shared" si="2"/>
        <v>Complete 2019–2024 Large-Hub peer; retained for full-population benchmarking</v>
      </c>
    </row>
    <row r="11" spans="1:11" ht="28">
      <c r="A11" s="6" t="str">
        <f>Candidate_Set_33!A4</f>
        <v>LAX</v>
      </c>
      <c r="B11" s="6" t="str">
        <f>Candidate_Set_33!B4</f>
        <v>Los Angeles International</v>
      </c>
      <c r="C11" s="6" t="str">
        <f>Candidate_Set_33!C4</f>
        <v>Large</v>
      </c>
      <c r="D11" s="6" t="str">
        <f t="shared" si="0"/>
        <v>Yes</v>
      </c>
      <c r="E11" s="6">
        <f>IFERROR(INDEX(Airport_Master!$K$2:$K$64,MATCH(A11,Airport_Master!$A$2:$A$64,0)),"")</f>
        <v>5</v>
      </c>
      <c r="F11" s="6">
        <f>Candidate_Set_33!D4</f>
        <v>6</v>
      </c>
      <c r="G11" s="23">
        <f>Candidate_Set_33!E4</f>
        <v>1</v>
      </c>
      <c r="H11" s="6" t="s">
        <v>602</v>
      </c>
      <c r="I11" s="6" t="s">
        <v>603</v>
      </c>
      <c r="J11" s="6" t="str">
        <f t="shared" si="1"/>
        <v>Include in dashboard &amp; SQL analysis</v>
      </c>
      <c r="K11" s="6" t="str">
        <f t="shared" si="2"/>
        <v>Complete 2019–2024 Large-Hub peer; retained for full-population benchmarking</v>
      </c>
    </row>
    <row r="12" spans="1:11" ht="28">
      <c r="A12" s="6" t="str">
        <f>Candidate_Set_33!A5</f>
        <v>SEA</v>
      </c>
      <c r="B12" s="6" t="str">
        <f>Candidate_Set_33!B5</f>
        <v>Seattle-Tacoma International</v>
      </c>
      <c r="C12" s="6" t="str">
        <f>Candidate_Set_33!C5</f>
        <v>Large</v>
      </c>
      <c r="D12" s="6" t="str">
        <f t="shared" si="0"/>
        <v>Yes</v>
      </c>
      <c r="E12" s="6">
        <f>IFERROR(INDEX(Airport_Master!$K$2:$K$64,MATCH(A12,Airport_Master!$A$2:$A$64,0)),"")</f>
        <v>12</v>
      </c>
      <c r="F12" s="6">
        <f>Candidate_Set_33!D5</f>
        <v>6</v>
      </c>
      <c r="G12" s="23">
        <f>Candidate_Set_33!E5</f>
        <v>1</v>
      </c>
      <c r="H12" s="6" t="s">
        <v>602</v>
      </c>
      <c r="I12" s="6" t="s">
        <v>603</v>
      </c>
      <c r="J12" s="6" t="str">
        <f t="shared" si="1"/>
        <v>Include in dashboard &amp; SQL analysis</v>
      </c>
      <c r="K12" s="6" t="str">
        <f t="shared" si="2"/>
        <v>Complete 2019–2024 Large-Hub peer; retained for full-population benchmarking</v>
      </c>
    </row>
    <row r="13" spans="1:11" ht="28">
      <c r="A13" s="6" t="str">
        <f>Candidate_Set_33!A6</f>
        <v>CLE</v>
      </c>
      <c r="B13" s="6" t="str">
        <f>Candidate_Set_33!B6</f>
        <v>Cleveland-Hopkins International</v>
      </c>
      <c r="C13" s="6" t="str">
        <f>Candidate_Set_33!C6</f>
        <v>Medium</v>
      </c>
      <c r="D13" s="6" t="str">
        <f t="shared" si="0"/>
        <v>Reserve</v>
      </c>
      <c r="E13" s="6">
        <f>IFERROR(INDEX(Airport_Master!$K$2:$K$64,MATCH(A13,Airport_Master!$A$2:$A$64,0)),"")</f>
        <v>47</v>
      </c>
      <c r="F13" s="6">
        <f>Candidate_Set_33!D6</f>
        <v>6</v>
      </c>
      <c r="G13" s="23">
        <f>Candidate_Set_33!E6</f>
        <v>1</v>
      </c>
      <c r="H13" s="6" t="s">
        <v>602</v>
      </c>
      <c r="I13" s="6" t="s">
        <v>603</v>
      </c>
      <c r="J13" s="6" t="str">
        <f t="shared" si="1"/>
        <v>Reserve / QA only</v>
      </c>
      <c r="K13" s="6" t="str">
        <f t="shared" si="2"/>
        <v>Medium-Hub airport retained only for validation / potential replacement</v>
      </c>
    </row>
    <row r="14" spans="1:11" ht="28">
      <c r="A14" s="6" t="str">
        <f>Candidate_Set_33!A7</f>
        <v>DEN</v>
      </c>
      <c r="B14" s="6" t="str">
        <f>Candidate_Set_33!B7</f>
        <v>Denver International</v>
      </c>
      <c r="C14" s="6" t="str">
        <f>Candidate_Set_33!C7</f>
        <v>Large</v>
      </c>
      <c r="D14" s="6" t="str">
        <f t="shared" si="0"/>
        <v>Yes</v>
      </c>
      <c r="E14" s="6">
        <f>IFERROR(INDEX(Airport_Master!$K$2:$K$64,MATCH(A14,Airport_Master!$A$2:$A$64,0)),"")</f>
        <v>3</v>
      </c>
      <c r="F14" s="6">
        <f>Candidate_Set_33!D7</f>
        <v>6</v>
      </c>
      <c r="G14" s="23">
        <f>Candidate_Set_33!E7</f>
        <v>1</v>
      </c>
      <c r="H14" s="6" t="s">
        <v>602</v>
      </c>
      <c r="I14" s="6" t="s">
        <v>603</v>
      </c>
      <c r="J14" s="6" t="str">
        <f t="shared" si="1"/>
        <v>Include in dashboard &amp; SQL analysis</v>
      </c>
      <c r="K14" s="6" t="str">
        <f t="shared" si="2"/>
        <v>Complete 2019–2024 Large-Hub peer; retained for full-population benchmarking</v>
      </c>
    </row>
    <row r="15" spans="1:11" ht="28">
      <c r="A15" s="6" t="str">
        <f>Candidate_Set_33!A8</f>
        <v>ORD</v>
      </c>
      <c r="B15" s="6" t="str">
        <f>Candidate_Set_33!B8</f>
        <v>Chicago O'Hare International</v>
      </c>
      <c r="C15" s="6" t="str">
        <f>Candidate_Set_33!C8</f>
        <v>Large</v>
      </c>
      <c r="D15" s="6" t="str">
        <f t="shared" si="0"/>
        <v>Yes</v>
      </c>
      <c r="E15" s="6">
        <f>IFERROR(INDEX(Airport_Master!$K$2:$K$64,MATCH(A15,Airport_Master!$A$2:$A$64,0)),"")</f>
        <v>4</v>
      </c>
      <c r="F15" s="6">
        <f>Candidate_Set_33!D8</f>
        <v>6</v>
      </c>
      <c r="G15" s="23">
        <f>Candidate_Set_33!E8</f>
        <v>1</v>
      </c>
      <c r="H15" s="6" t="s">
        <v>602</v>
      </c>
      <c r="I15" s="6" t="s">
        <v>603</v>
      </c>
      <c r="J15" s="6" t="str">
        <f t="shared" si="1"/>
        <v>Include in dashboard &amp; SQL analysis</v>
      </c>
      <c r="K15" s="6" t="str">
        <f t="shared" si="2"/>
        <v>Complete 2019–2024 Large-Hub peer; retained for full-population benchmarking</v>
      </c>
    </row>
    <row r="16" spans="1:11" ht="28">
      <c r="A16" s="6" t="str">
        <f>Candidate_Set_33!A9</f>
        <v>LAS</v>
      </c>
      <c r="B16" s="6" t="str">
        <f>Candidate_Set_33!B9</f>
        <v>Harry Reid International</v>
      </c>
      <c r="C16" s="6" t="str">
        <f>Candidate_Set_33!C9</f>
        <v>Large</v>
      </c>
      <c r="D16" s="6" t="str">
        <f t="shared" si="0"/>
        <v>Yes</v>
      </c>
      <c r="E16" s="6">
        <f>IFERROR(INDEX(Airport_Master!$K$2:$K$64,MATCH(A16,Airport_Master!$A$2:$A$64,0)),"")</f>
        <v>8</v>
      </c>
      <c r="F16" s="6">
        <f>Candidate_Set_33!D9</f>
        <v>6</v>
      </c>
      <c r="G16" s="23">
        <f>Candidate_Set_33!E9</f>
        <v>1</v>
      </c>
      <c r="H16" s="6" t="s">
        <v>602</v>
      </c>
      <c r="I16" s="6" t="s">
        <v>603</v>
      </c>
      <c r="J16" s="6" t="str">
        <f t="shared" si="1"/>
        <v>Include in dashboard &amp; SQL analysis</v>
      </c>
      <c r="K16" s="6" t="str">
        <f t="shared" si="2"/>
        <v>Complete 2019–2024 Large-Hub peer; retained for full-population benchmarking</v>
      </c>
    </row>
    <row r="17" spans="1:11" ht="28">
      <c r="A17" s="6" t="str">
        <f>Candidate_Set_33!A10</f>
        <v>PHX</v>
      </c>
      <c r="B17" s="6" t="str">
        <f>Candidate_Set_33!B10</f>
        <v>Phoenix Sky Harbor International</v>
      </c>
      <c r="C17" s="6" t="str">
        <f>Candidate_Set_33!C10</f>
        <v>Large</v>
      </c>
      <c r="D17" s="6" t="str">
        <f t="shared" si="0"/>
        <v>Yes</v>
      </c>
      <c r="E17" s="6">
        <f>IFERROR(INDEX(Airport_Master!$K$2:$K$64,MATCH(A17,Airport_Master!$A$2:$A$64,0)),"")</f>
        <v>11</v>
      </c>
      <c r="F17" s="6">
        <f>Candidate_Set_33!D10</f>
        <v>6</v>
      </c>
      <c r="G17" s="23">
        <f>Candidate_Set_33!E10</f>
        <v>1</v>
      </c>
      <c r="H17" s="6" t="s">
        <v>602</v>
      </c>
      <c r="I17" s="6" t="s">
        <v>604</v>
      </c>
      <c r="J17" s="6" t="str">
        <f t="shared" si="1"/>
        <v>Include in dashboard &amp; SQL analysis</v>
      </c>
      <c r="K17" s="6" t="str">
        <f t="shared" si="2"/>
        <v>Complete 2019–2024 Large-Hub peer; retained for full-population benchmarking</v>
      </c>
    </row>
    <row r="18" spans="1:11" ht="28">
      <c r="A18" s="6" t="str">
        <f>Candidate_Set_33!A11</f>
        <v>MIA</v>
      </c>
      <c r="B18" s="6" t="str">
        <f>Candidate_Set_33!B11</f>
        <v>Miami International</v>
      </c>
      <c r="C18" s="6" t="str">
        <f>Candidate_Set_33!C11</f>
        <v>Large</v>
      </c>
      <c r="D18" s="6" t="str">
        <f t="shared" si="0"/>
        <v>Yes</v>
      </c>
      <c r="E18" s="6">
        <f>IFERROR(INDEX(Airport_Master!$K$2:$K$64,MATCH(A18,Airport_Master!$A$2:$A$64,0)),"")</f>
        <v>10</v>
      </c>
      <c r="F18" s="6">
        <f>Candidate_Set_33!D11</f>
        <v>6</v>
      </c>
      <c r="G18" s="23">
        <f>Candidate_Set_33!E11</f>
        <v>1</v>
      </c>
      <c r="H18" s="6" t="s">
        <v>602</v>
      </c>
      <c r="I18" s="6" t="s">
        <v>603</v>
      </c>
      <c r="J18" s="6" t="str">
        <f t="shared" si="1"/>
        <v>Include in dashboard &amp; SQL analysis</v>
      </c>
      <c r="K18" s="6" t="str">
        <f t="shared" si="2"/>
        <v>Complete 2019–2024 Large-Hub peer; retained for full-population benchmarking</v>
      </c>
    </row>
    <row r="19" spans="1:11" ht="28">
      <c r="A19" s="6" t="str">
        <f>Candidate_Set_33!A12</f>
        <v>SFO</v>
      </c>
      <c r="B19" s="6" t="str">
        <f>Candidate_Set_33!B12</f>
        <v>San Francisco International</v>
      </c>
      <c r="C19" s="6" t="str">
        <f>Candidate_Set_33!C12</f>
        <v>Large</v>
      </c>
      <c r="D19" s="6" t="str">
        <f t="shared" si="0"/>
        <v>Yes</v>
      </c>
      <c r="E19" s="6">
        <f>IFERROR(INDEX(Airport_Master!$K$2:$K$64,MATCH(A19,Airport_Master!$A$2:$A$64,0)),"")</f>
        <v>13</v>
      </c>
      <c r="F19" s="6">
        <f>Candidate_Set_33!D12</f>
        <v>6</v>
      </c>
      <c r="G19" s="23">
        <f>Candidate_Set_33!E12</f>
        <v>1</v>
      </c>
      <c r="H19" s="6" t="s">
        <v>602</v>
      </c>
      <c r="I19" s="6" t="s">
        <v>603</v>
      </c>
      <c r="J19" s="6" t="str">
        <f t="shared" si="1"/>
        <v>Include in dashboard &amp; SQL analysis</v>
      </c>
      <c r="K19" s="6" t="str">
        <f t="shared" si="2"/>
        <v>Complete 2019–2024 Large-Hub peer; retained for full-population benchmarking</v>
      </c>
    </row>
    <row r="20" spans="1:11" ht="28">
      <c r="A20" s="6" t="str">
        <f>Candidate_Set_33!A13</f>
        <v>IAH</v>
      </c>
      <c r="B20" s="6" t="str">
        <f>Candidate_Set_33!B13</f>
        <v>George Bush Intcntl/Houston</v>
      </c>
      <c r="C20" s="6" t="str">
        <f>Candidate_Set_33!C13</f>
        <v>Large</v>
      </c>
      <c r="D20" s="6" t="str">
        <f t="shared" si="0"/>
        <v>Yes</v>
      </c>
      <c r="E20" s="6">
        <f>IFERROR(INDEX(Airport_Master!$K$2:$K$64,MATCH(A20,Airport_Master!$A$2:$A$64,0)),"")</f>
        <v>15</v>
      </c>
      <c r="F20" s="6">
        <f>Candidate_Set_33!D13</f>
        <v>6</v>
      </c>
      <c r="G20" s="23">
        <f>Candidate_Set_33!E13</f>
        <v>1</v>
      </c>
      <c r="H20" s="6" t="s">
        <v>602</v>
      </c>
      <c r="I20" s="6" t="s">
        <v>603</v>
      </c>
      <c r="J20" s="6" t="str">
        <f t="shared" si="1"/>
        <v>Include in dashboard &amp; SQL analysis</v>
      </c>
      <c r="K20" s="6" t="str">
        <f t="shared" si="2"/>
        <v>Complete 2019–2024 Large-Hub peer; retained for full-population benchmarking</v>
      </c>
    </row>
    <row r="21" spans="1:11" ht="28">
      <c r="A21" s="6" t="str">
        <f>Candidate_Set_33!A14</f>
        <v>MCO</v>
      </c>
      <c r="B21" s="6" t="str">
        <f>Candidate_Set_33!B14</f>
        <v>Orlando International</v>
      </c>
      <c r="C21" s="6" t="str">
        <f>Candidate_Set_33!C14</f>
        <v>Large</v>
      </c>
      <c r="D21" s="6" t="str">
        <f t="shared" si="0"/>
        <v>Yes</v>
      </c>
      <c r="E21" s="6">
        <f>IFERROR(INDEX(Airport_Master!$K$2:$K$64,MATCH(A21,Airport_Master!$A$2:$A$64,0)),"")</f>
        <v>9</v>
      </c>
      <c r="F21" s="6">
        <f>Candidate_Set_33!D14</f>
        <v>6</v>
      </c>
      <c r="G21" s="23">
        <f>Candidate_Set_33!E14</f>
        <v>1</v>
      </c>
      <c r="H21" s="6" t="s">
        <v>602</v>
      </c>
      <c r="I21" s="6" t="s">
        <v>603</v>
      </c>
      <c r="J21" s="6" t="str">
        <f t="shared" si="1"/>
        <v>Include in dashboard &amp; SQL analysis</v>
      </c>
      <c r="K21" s="6" t="str">
        <f t="shared" si="2"/>
        <v>Complete 2019–2024 Large-Hub peer; retained for full-population benchmarking</v>
      </c>
    </row>
    <row r="22" spans="1:11" ht="28">
      <c r="A22" s="6" t="str">
        <f>Candidate_Set_33!A15</f>
        <v>DTW</v>
      </c>
      <c r="B22" s="6" t="str">
        <f>Candidate_Set_33!B15</f>
        <v>Detroit Metro Wayne County</v>
      </c>
      <c r="C22" s="6" t="str">
        <f>Candidate_Set_33!C15</f>
        <v>Large</v>
      </c>
      <c r="D22" s="6" t="str">
        <f t="shared" si="0"/>
        <v>Yes</v>
      </c>
      <c r="E22" s="6">
        <f>IFERROR(INDEX(Airport_Master!$K$2:$K$64,MATCH(A22,Airport_Master!$A$2:$A$64,0)),"")</f>
        <v>20</v>
      </c>
      <c r="F22" s="6">
        <f>Candidate_Set_33!D15</f>
        <v>6</v>
      </c>
      <c r="G22" s="23">
        <f>Candidate_Set_33!E15</f>
        <v>1</v>
      </c>
      <c r="H22" s="6" t="s">
        <v>602</v>
      </c>
      <c r="I22" s="6" t="s">
        <v>603</v>
      </c>
      <c r="J22" s="6" t="str">
        <f t="shared" si="1"/>
        <v>Include in dashboard &amp; SQL analysis</v>
      </c>
      <c r="K22" s="6" t="str">
        <f t="shared" si="2"/>
        <v>Complete 2019–2024 Large-Hub peer; retained for full-population benchmarking</v>
      </c>
    </row>
    <row r="23" spans="1:11" ht="28">
      <c r="A23" s="6" t="str">
        <f>Candidate_Set_33!A16</f>
        <v>BOS</v>
      </c>
      <c r="B23" s="6" t="str">
        <f>Candidate_Set_33!B16</f>
        <v>General Edward Lawrence Logan International</v>
      </c>
      <c r="C23" s="6" t="str">
        <f>Candidate_Set_33!C16</f>
        <v>Large</v>
      </c>
      <c r="D23" s="6" t="str">
        <f t="shared" si="0"/>
        <v>Yes</v>
      </c>
      <c r="E23" s="6">
        <f>IFERROR(INDEX(Airport_Master!$K$2:$K$64,MATCH(A23,Airport_Master!$A$2:$A$64,0)),"")</f>
        <v>16</v>
      </c>
      <c r="F23" s="6">
        <f>Candidate_Set_33!D16</f>
        <v>6</v>
      </c>
      <c r="G23" s="23">
        <f>Candidate_Set_33!E16</f>
        <v>1</v>
      </c>
      <c r="H23" s="6" t="s">
        <v>602</v>
      </c>
      <c r="I23" s="6" t="s">
        <v>603</v>
      </c>
      <c r="J23" s="6" t="str">
        <f t="shared" si="1"/>
        <v>Include in dashboard &amp; SQL analysis</v>
      </c>
      <c r="K23" s="6" t="str">
        <f t="shared" si="2"/>
        <v>Complete 2019–2024 Large-Hub peer; retained for full-population benchmarking</v>
      </c>
    </row>
    <row r="24" spans="1:11" ht="28">
      <c r="A24" s="6" t="str">
        <f>Candidate_Set_33!A17</f>
        <v>FLL</v>
      </c>
      <c r="B24" s="6" t="str">
        <f>Candidate_Set_33!B17</f>
        <v>Fort Lauderdale/Hollywood International</v>
      </c>
      <c r="C24" s="6" t="str">
        <f>Candidate_Set_33!C17</f>
        <v>Large</v>
      </c>
      <c r="D24" s="6" t="str">
        <f t="shared" si="0"/>
        <v>Yes</v>
      </c>
      <c r="E24" s="6">
        <f>IFERROR(INDEX(Airport_Master!$K$2:$K$64,MATCH(A24,Airport_Master!$A$2:$A$64,0)),"")</f>
        <v>18</v>
      </c>
      <c r="F24" s="6">
        <f>Candidate_Set_33!D17</f>
        <v>6</v>
      </c>
      <c r="G24" s="23">
        <f>Candidate_Set_33!E17</f>
        <v>1</v>
      </c>
      <c r="H24" s="6" t="s">
        <v>602</v>
      </c>
      <c r="I24" s="6" t="s">
        <v>603</v>
      </c>
      <c r="J24" s="6" t="str">
        <f t="shared" si="1"/>
        <v>Include in dashboard &amp; SQL analysis</v>
      </c>
      <c r="K24" s="6" t="str">
        <f t="shared" si="2"/>
        <v>Complete 2019–2024 Large-Hub peer; retained for full-population benchmarking</v>
      </c>
    </row>
    <row r="25" spans="1:11" ht="28">
      <c r="A25" s="6" t="str">
        <f>Candidate_Set_33!A18</f>
        <v>PHL</v>
      </c>
      <c r="B25" s="6" t="str">
        <f>Candidate_Set_33!B18</f>
        <v>Philadelphia International</v>
      </c>
      <c r="C25" s="6" t="str">
        <f>Candidate_Set_33!C18</f>
        <v>Large</v>
      </c>
      <c r="D25" s="6" t="str">
        <f t="shared" si="0"/>
        <v>Yes</v>
      </c>
      <c r="E25" s="6">
        <f>IFERROR(INDEX(Airport_Master!$K$2:$K$64,MATCH(A25,Airport_Master!$A$2:$A$64,0)),"")</f>
        <v>21</v>
      </c>
      <c r="F25" s="6">
        <f>Candidate_Set_33!D18</f>
        <v>6</v>
      </c>
      <c r="G25" s="23">
        <f>Candidate_Set_33!E18</f>
        <v>1</v>
      </c>
      <c r="H25" s="6" t="s">
        <v>602</v>
      </c>
      <c r="I25" s="6" t="s">
        <v>603</v>
      </c>
      <c r="J25" s="6" t="str">
        <f t="shared" si="1"/>
        <v>Include in dashboard &amp; SQL analysis</v>
      </c>
      <c r="K25" s="6" t="str">
        <f t="shared" si="2"/>
        <v>Complete 2019–2024 Large-Hub peer; retained for full-population benchmarking</v>
      </c>
    </row>
    <row r="26" spans="1:11" ht="28">
      <c r="A26" s="6" t="str">
        <f>Candidate_Set_33!A19</f>
        <v>MSP</v>
      </c>
      <c r="B26" s="6" t="str">
        <f>Candidate_Set_33!B19</f>
        <v>Minneapolis-St Paul International/Wold-Chamberlain</v>
      </c>
      <c r="C26" s="6" t="str">
        <f>Candidate_Set_33!C19</f>
        <v>Large</v>
      </c>
      <c r="D26" s="6" t="str">
        <f t="shared" si="0"/>
        <v>Yes</v>
      </c>
      <c r="E26" s="6">
        <f>IFERROR(INDEX(Airport_Master!$K$2:$K$64,MATCH(A26,Airport_Master!$A$2:$A$64,0)),"")</f>
        <v>17</v>
      </c>
      <c r="F26" s="6">
        <f>Candidate_Set_33!D19</f>
        <v>6</v>
      </c>
      <c r="G26" s="23">
        <f>Candidate_Set_33!E19</f>
        <v>1</v>
      </c>
      <c r="H26" s="6" t="s">
        <v>602</v>
      </c>
      <c r="I26" s="6" t="s">
        <v>603</v>
      </c>
      <c r="J26" s="6" t="str">
        <f t="shared" si="1"/>
        <v>Include in dashboard &amp; SQL analysis</v>
      </c>
      <c r="K26" s="6" t="str">
        <f t="shared" si="2"/>
        <v>Complete 2019–2024 Large-Hub peer; retained for full-population benchmarking</v>
      </c>
    </row>
    <row r="27" spans="1:11" ht="28">
      <c r="A27" s="6" t="str">
        <f>Candidate_Set_33!A20</f>
        <v>SLC</v>
      </c>
      <c r="B27" s="6" t="str">
        <f>Candidate_Set_33!B20</f>
        <v>Salt Lake City International</v>
      </c>
      <c r="C27" s="6" t="str">
        <f>Candidate_Set_33!C20</f>
        <v>Large</v>
      </c>
      <c r="D27" s="6" t="str">
        <f t="shared" si="0"/>
        <v>Yes</v>
      </c>
      <c r="E27" s="6">
        <f>IFERROR(INDEX(Airport_Master!$K$2:$K$64,MATCH(A27,Airport_Master!$A$2:$A$64,0)),"")</f>
        <v>22</v>
      </c>
      <c r="F27" s="6">
        <f>Candidate_Set_33!D20</f>
        <v>6</v>
      </c>
      <c r="G27" s="23">
        <f>Candidate_Set_33!E20</f>
        <v>1</v>
      </c>
      <c r="H27" s="6" t="s">
        <v>602</v>
      </c>
      <c r="I27" s="6" t="s">
        <v>603</v>
      </c>
      <c r="J27" s="6" t="str">
        <f t="shared" si="1"/>
        <v>Include in dashboard &amp; SQL analysis</v>
      </c>
      <c r="K27" s="6" t="str">
        <f t="shared" si="2"/>
        <v>Complete 2019–2024 Large-Hub peer; retained for full-population benchmarking</v>
      </c>
    </row>
    <row r="28" spans="1:11" ht="28">
      <c r="A28" s="6" t="str">
        <f>Candidate_Set_33!A21</f>
        <v>BWI</v>
      </c>
      <c r="B28" s="6" t="str">
        <f>Candidate_Set_33!B21</f>
        <v>Baltimore/Washington International Thurgood Marshall</v>
      </c>
      <c r="C28" s="6" t="str">
        <f>Candidate_Set_33!C21</f>
        <v>Large</v>
      </c>
      <c r="D28" s="6" t="str">
        <f t="shared" si="0"/>
        <v>Yes</v>
      </c>
      <c r="E28" s="6">
        <f>IFERROR(INDEX(Airport_Master!$K$2:$K$64,MATCH(A28,Airport_Master!$A$2:$A$64,0)),"")</f>
        <v>23</v>
      </c>
      <c r="F28" s="6">
        <f>Candidate_Set_33!D21</f>
        <v>6</v>
      </c>
      <c r="G28" s="23">
        <f>Candidate_Set_33!E21</f>
        <v>1</v>
      </c>
      <c r="H28" s="6" t="s">
        <v>602</v>
      </c>
      <c r="I28" s="6" t="s">
        <v>603</v>
      </c>
      <c r="J28" s="6" t="str">
        <f t="shared" si="1"/>
        <v>Include in dashboard &amp; SQL analysis</v>
      </c>
      <c r="K28" s="6" t="str">
        <f t="shared" si="2"/>
        <v>Complete 2019–2024 Large-Hub peer; retained for full-population benchmarking</v>
      </c>
    </row>
    <row r="29" spans="1:11" ht="28">
      <c r="A29" s="6" t="str">
        <f>Candidate_Set_33!A22</f>
        <v>TPA</v>
      </c>
      <c r="B29" s="6" t="str">
        <f>Candidate_Set_33!B22</f>
        <v>Tampa International</v>
      </c>
      <c r="C29" s="6" t="str">
        <f>Candidate_Set_33!C22</f>
        <v>Large</v>
      </c>
      <c r="D29" s="6" t="str">
        <f t="shared" si="0"/>
        <v>Yes</v>
      </c>
      <c r="E29" s="6">
        <f>IFERROR(INDEX(Airport_Master!$K$2:$K$64,MATCH(A29,Airport_Master!$A$2:$A$64,0)),"")</f>
        <v>27</v>
      </c>
      <c r="F29" s="6">
        <f>Candidate_Set_33!D22</f>
        <v>6</v>
      </c>
      <c r="G29" s="23">
        <f>Candidate_Set_33!E22</f>
        <v>1</v>
      </c>
      <c r="H29" s="6" t="s">
        <v>602</v>
      </c>
      <c r="I29" s="6" t="s">
        <v>603</v>
      </c>
      <c r="J29" s="6" t="str">
        <f t="shared" si="1"/>
        <v>Include in dashboard &amp; SQL analysis</v>
      </c>
      <c r="K29" s="6" t="str">
        <f t="shared" si="2"/>
        <v>Complete 2019–2024 Large-Hub peer; retained for full-population benchmarking</v>
      </c>
    </row>
    <row r="30" spans="1:11" ht="28">
      <c r="A30" s="6" t="str">
        <f>Candidate_Set_33!A23</f>
        <v>AUS</v>
      </c>
      <c r="B30" s="6" t="str">
        <f>Candidate_Set_33!B23</f>
        <v>Austin-Bergstrom International</v>
      </c>
      <c r="C30" s="6" t="str">
        <f>Candidate_Set_33!C23</f>
        <v>Large</v>
      </c>
      <c r="D30" s="6" t="str">
        <f t="shared" si="0"/>
        <v>Yes</v>
      </c>
      <c r="E30" s="6">
        <f>IFERROR(INDEX(Airport_Master!$K$2:$K$64,MATCH(A30,Airport_Master!$A$2:$A$64,0)),"")</f>
        <v>29</v>
      </c>
      <c r="F30" s="6">
        <f>Candidate_Set_33!D23</f>
        <v>6</v>
      </c>
      <c r="G30" s="23">
        <f>Candidate_Set_33!E23</f>
        <v>1</v>
      </c>
      <c r="H30" s="6" t="s">
        <v>602</v>
      </c>
      <c r="I30" s="6" t="s">
        <v>603</v>
      </c>
      <c r="J30" s="6" t="str">
        <f t="shared" si="1"/>
        <v>Include in dashboard &amp; SQL analysis</v>
      </c>
      <c r="K30" s="6" t="str">
        <f t="shared" si="2"/>
        <v>Complete 2019–2024 Large-Hub peer; retained for full-population benchmarking</v>
      </c>
    </row>
    <row r="31" spans="1:11" ht="28">
      <c r="A31" s="6" t="str">
        <f>Candidate_Set_33!A24</f>
        <v>SAN</v>
      </c>
      <c r="B31" s="6" t="str">
        <f>Candidate_Set_33!B24</f>
        <v>San Diego International</v>
      </c>
      <c r="C31" s="6" t="str">
        <f>Candidate_Set_33!C24</f>
        <v>Large</v>
      </c>
      <c r="D31" s="6" t="str">
        <f t="shared" si="0"/>
        <v>Yes</v>
      </c>
      <c r="E31" s="6">
        <f>IFERROR(INDEX(Airport_Master!$K$2:$K$64,MATCH(A31,Airport_Master!$A$2:$A$64,0)),"")</f>
        <v>25</v>
      </c>
      <c r="F31" s="6">
        <f>Candidate_Set_33!D24</f>
        <v>6</v>
      </c>
      <c r="G31" s="23">
        <f>Candidate_Set_33!E24</f>
        <v>1</v>
      </c>
      <c r="H31" s="6" t="s">
        <v>602</v>
      </c>
      <c r="I31" s="6" t="s">
        <v>603</v>
      </c>
      <c r="J31" s="6" t="str">
        <f t="shared" si="1"/>
        <v>Include in dashboard &amp; SQL analysis</v>
      </c>
      <c r="K31" s="6" t="str">
        <f t="shared" si="2"/>
        <v>Complete 2019–2024 Large-Hub peer; retained for full-population benchmarking</v>
      </c>
    </row>
    <row r="32" spans="1:11" ht="28">
      <c r="A32" s="6" t="str">
        <f>Candidate_Set_33!A25</f>
        <v>BNA</v>
      </c>
      <c r="B32" s="6" t="str">
        <f>Candidate_Set_33!B25</f>
        <v>Nashville International</v>
      </c>
      <c r="C32" s="6" t="str">
        <f>Candidate_Set_33!C25</f>
        <v>Large</v>
      </c>
      <c r="D32" s="6" t="str">
        <f t="shared" si="0"/>
        <v>Yes</v>
      </c>
      <c r="E32" s="6">
        <f>IFERROR(INDEX(Airport_Master!$K$2:$K$64,MATCH(A32,Airport_Master!$A$2:$A$64,0)),"")</f>
        <v>28</v>
      </c>
      <c r="F32" s="6">
        <f>Candidate_Set_33!D25</f>
        <v>6</v>
      </c>
      <c r="G32" s="23">
        <f>Candidate_Set_33!E25</f>
        <v>1</v>
      </c>
      <c r="H32" s="6" t="s">
        <v>602</v>
      </c>
      <c r="I32" s="6" t="s">
        <v>603</v>
      </c>
      <c r="J32" s="6" t="str">
        <f t="shared" si="1"/>
        <v>Include in dashboard &amp; SQL analysis</v>
      </c>
      <c r="K32" s="6" t="str">
        <f t="shared" si="2"/>
        <v>Complete 2019–2024 Large-Hub peer; retained for full-population benchmarking</v>
      </c>
    </row>
    <row r="33" spans="1:11" ht="28">
      <c r="A33" s="6" t="str">
        <f>Candidate_Set_33!A26</f>
        <v>DAL</v>
      </c>
      <c r="B33" s="6" t="str">
        <f>Candidate_Set_33!B26</f>
        <v>Dallas Love Field</v>
      </c>
      <c r="C33" s="6" t="str">
        <f>Candidate_Set_33!C26</f>
        <v>Medium</v>
      </c>
      <c r="D33" s="6" t="str">
        <f t="shared" si="0"/>
        <v>Reserve</v>
      </c>
      <c r="E33" s="6">
        <f>IFERROR(INDEX(Airport_Master!$K$2:$K$64,MATCH(A33,Airport_Master!$A$2:$A$64,0)),"")</f>
        <v>32</v>
      </c>
      <c r="F33" s="6">
        <f>Candidate_Set_33!D26</f>
        <v>6</v>
      </c>
      <c r="G33" s="23">
        <f>Candidate_Set_33!E26</f>
        <v>1</v>
      </c>
      <c r="H33" s="6" t="s">
        <v>602</v>
      </c>
      <c r="I33" s="6" t="s">
        <v>603</v>
      </c>
      <c r="J33" s="6" t="str">
        <f t="shared" si="1"/>
        <v>Reserve / QA only</v>
      </c>
      <c r="K33" s="6" t="str">
        <f t="shared" si="2"/>
        <v>Medium-Hub airport retained only for validation / potential replacement</v>
      </c>
    </row>
    <row r="34" spans="1:11" ht="28">
      <c r="A34" s="6" t="str">
        <f>Candidate_Set_33!A27</f>
        <v>CLT</v>
      </c>
      <c r="B34" s="6" t="str">
        <f>Candidate_Set_33!B27</f>
        <v>Charlotte/Douglas International</v>
      </c>
      <c r="C34" s="6" t="str">
        <f>Candidate_Set_33!C27</f>
        <v>Large</v>
      </c>
      <c r="D34" s="6" t="str">
        <f t="shared" si="0"/>
        <v>Yes</v>
      </c>
      <c r="E34" s="6">
        <f>IFERROR(INDEX(Airport_Master!$K$2:$K$64,MATCH(A34,Airport_Master!$A$2:$A$64,0)),"")</f>
        <v>7</v>
      </c>
      <c r="F34" s="6">
        <f>Candidate_Set_33!D27</f>
        <v>6</v>
      </c>
      <c r="G34" s="23">
        <f>Candidate_Set_33!E27</f>
        <v>1</v>
      </c>
      <c r="H34" s="6" t="s">
        <v>602</v>
      </c>
      <c r="I34" s="6" t="s">
        <v>603</v>
      </c>
      <c r="J34" s="6" t="str">
        <f t="shared" si="1"/>
        <v>Include in dashboard &amp; SQL analysis</v>
      </c>
      <c r="K34" s="6" t="str">
        <f t="shared" si="2"/>
        <v>Complete 2019–2024 Large-Hub peer; retained for full-population benchmarking</v>
      </c>
    </row>
    <row r="35" spans="1:11" ht="28">
      <c r="A35" s="6" t="str">
        <f>Candidate_Set_33!A28</f>
        <v>JFK</v>
      </c>
      <c r="B35" s="6" t="str">
        <f>Candidate_Set_33!B28</f>
        <v>John F Kennedy International</v>
      </c>
      <c r="C35" s="6" t="str">
        <f>Candidate_Set_33!C28</f>
        <v>Large</v>
      </c>
      <c r="D35" s="6" t="str">
        <f t="shared" si="0"/>
        <v>Yes</v>
      </c>
      <c r="E35" s="6">
        <f>IFERROR(INDEX(Airport_Master!$K$2:$K$64,MATCH(A35,Airport_Master!$A$2:$A$64,0)),"")</f>
        <v>6</v>
      </c>
      <c r="F35" s="6">
        <f>Candidate_Set_33!D28</f>
        <v>6</v>
      </c>
      <c r="G35" s="23">
        <f>Candidate_Set_33!E28</f>
        <v>1</v>
      </c>
      <c r="H35" s="6" t="s">
        <v>605</v>
      </c>
      <c r="I35" s="6" t="s">
        <v>603</v>
      </c>
      <c r="J35" s="6" t="str">
        <f t="shared" si="1"/>
        <v>Include in dashboard &amp; SQL analysis</v>
      </c>
      <c r="K35" s="6" t="str">
        <f t="shared" si="2"/>
        <v>Complete 2019–2024 Large-Hub peer; retained for full-population benchmarking</v>
      </c>
    </row>
    <row r="36" spans="1:11" ht="28">
      <c r="A36" s="6" t="str">
        <f>Candidate_Set_33!A29</f>
        <v>EWR</v>
      </c>
      <c r="B36" s="6" t="str">
        <f>Candidate_Set_33!B29</f>
        <v>Newark Liberty International</v>
      </c>
      <c r="C36" s="6" t="str">
        <f>Candidate_Set_33!C29</f>
        <v>Large</v>
      </c>
      <c r="D36" s="6" t="str">
        <f t="shared" si="0"/>
        <v>Yes</v>
      </c>
      <c r="E36" s="6">
        <f>IFERROR(INDEX(Airport_Master!$K$2:$K$64,MATCH(A36,Airport_Master!$A$2:$A$64,0)),"")</f>
        <v>14</v>
      </c>
      <c r="F36" s="6">
        <f>Candidate_Set_33!D29</f>
        <v>6</v>
      </c>
      <c r="G36" s="23">
        <f>Candidate_Set_33!E29</f>
        <v>1</v>
      </c>
      <c r="H36" s="6" t="s">
        <v>605</v>
      </c>
      <c r="I36" s="6" t="s">
        <v>603</v>
      </c>
      <c r="J36" s="6" t="str">
        <f t="shared" si="1"/>
        <v>Include in dashboard &amp; SQL analysis</v>
      </c>
      <c r="K36" s="6" t="str">
        <f t="shared" si="2"/>
        <v>Complete 2019–2024 Large-Hub peer; retained for full-population benchmarking</v>
      </c>
    </row>
    <row r="37" spans="1:11" ht="28">
      <c r="A37" s="6" t="str">
        <f>Candidate_Set_33!A30</f>
        <v>LGA</v>
      </c>
      <c r="B37" s="6" t="str">
        <f>Candidate_Set_33!B30</f>
        <v>Laguardia</v>
      </c>
      <c r="C37" s="6" t="str">
        <f>Candidate_Set_33!C30</f>
        <v>Large</v>
      </c>
      <c r="D37" s="6" t="str">
        <f t="shared" si="0"/>
        <v>Yes</v>
      </c>
      <c r="E37" s="6">
        <f>IFERROR(INDEX(Airport_Master!$K$2:$K$64,MATCH(A37,Airport_Master!$A$2:$A$64,0)),"")</f>
        <v>19</v>
      </c>
      <c r="F37" s="6">
        <f>Candidate_Set_33!D30</f>
        <v>6</v>
      </c>
      <c r="G37" s="23">
        <f>Candidate_Set_33!E30</f>
        <v>1</v>
      </c>
      <c r="H37" s="6" t="s">
        <v>605</v>
      </c>
      <c r="I37" s="6" t="s">
        <v>603</v>
      </c>
      <c r="J37" s="6" t="str">
        <f t="shared" si="1"/>
        <v>Include in dashboard &amp; SQL analysis</v>
      </c>
      <c r="K37" s="6" t="str">
        <f t="shared" si="2"/>
        <v>Complete 2019–2024 Large-Hub peer; retained for full-population benchmarking</v>
      </c>
    </row>
    <row r="38" spans="1:11" ht="28">
      <c r="A38" s="6" t="str">
        <f>Candidate_Set_33!A31</f>
        <v>IAD</v>
      </c>
      <c r="B38" s="6" t="str">
        <f>Candidate_Set_33!B31</f>
        <v>Washington Dulles International</v>
      </c>
      <c r="C38" s="6" t="str">
        <f>Candidate_Set_33!C31</f>
        <v>Large</v>
      </c>
      <c r="D38" s="6" t="str">
        <f t="shared" si="0"/>
        <v>Yes</v>
      </c>
      <c r="E38" s="6">
        <f>IFERROR(INDEX(Airport_Master!$K$2:$K$64,MATCH(A38,Airport_Master!$A$2:$A$64,0)),"")</f>
        <v>24</v>
      </c>
      <c r="F38" s="6">
        <f>Candidate_Set_33!D31</f>
        <v>6</v>
      </c>
      <c r="G38" s="23">
        <f>Candidate_Set_33!E31</f>
        <v>1</v>
      </c>
      <c r="H38" s="6" t="s">
        <v>606</v>
      </c>
      <c r="I38" s="6" t="s">
        <v>603</v>
      </c>
      <c r="J38" s="6" t="str">
        <f t="shared" si="1"/>
        <v>Include in dashboard &amp; SQL analysis</v>
      </c>
      <c r="K38" s="6" t="str">
        <f t="shared" si="2"/>
        <v>Complete 2019–2024 Large-Hub peer; retained for full-population benchmarking</v>
      </c>
    </row>
    <row r="39" spans="1:11" ht="28">
      <c r="A39" s="6" t="str">
        <f>Candidate_Set_33!A32</f>
        <v>DCA</v>
      </c>
      <c r="B39" s="6" t="str">
        <f>Candidate_Set_33!B32</f>
        <v>Ronald Reagan Washington Ntl</v>
      </c>
      <c r="C39" s="6" t="str">
        <f>Candidate_Set_33!C32</f>
        <v>Large</v>
      </c>
      <c r="D39" s="6" t="str">
        <f t="shared" si="0"/>
        <v>Yes</v>
      </c>
      <c r="E39" s="6">
        <f>IFERROR(INDEX(Airport_Master!$K$2:$K$64,MATCH(A39,Airport_Master!$A$2:$A$64,0)),"")</f>
        <v>26</v>
      </c>
      <c r="F39" s="6">
        <f>Candidate_Set_33!D32</f>
        <v>6</v>
      </c>
      <c r="G39" s="23">
        <f>Candidate_Set_33!E32</f>
        <v>1</v>
      </c>
      <c r="H39" s="6" t="s">
        <v>606</v>
      </c>
      <c r="I39" s="6" t="s">
        <v>603</v>
      </c>
      <c r="J39" s="6" t="str">
        <f t="shared" si="1"/>
        <v>Include in dashboard &amp; SQL analysis</v>
      </c>
      <c r="K39" s="6" t="str">
        <f t="shared" si="2"/>
        <v>Complete 2019–2024 Large-Hub peer; retained for full-population benchmarking</v>
      </c>
    </row>
    <row r="40" spans="1:11" ht="28">
      <c r="A40" s="6" t="str">
        <f>Candidate_Set_33!A33</f>
        <v>HNL</v>
      </c>
      <c r="B40" s="6" t="str">
        <f>Candidate_Set_33!B33</f>
        <v>Daniel K Inouye International</v>
      </c>
      <c r="C40" s="6" t="str">
        <f>Candidate_Set_33!C33</f>
        <v>Large</v>
      </c>
      <c r="D40" s="6" t="str">
        <f t="shared" si="0"/>
        <v>Yes</v>
      </c>
      <c r="E40" s="6">
        <f>IFERROR(INDEX(Airport_Master!$K$2:$K$64,MATCH(A40,Airport_Master!$A$2:$A$64,0)),"")</f>
        <v>30</v>
      </c>
      <c r="F40" s="6">
        <f>Candidate_Set_33!D33</f>
        <v>6</v>
      </c>
      <c r="G40" s="23">
        <f>Candidate_Set_33!E33</f>
        <v>1</v>
      </c>
      <c r="H40" s="6" t="s">
        <v>607</v>
      </c>
      <c r="I40" s="6" t="s">
        <v>603</v>
      </c>
      <c r="J40" s="6" t="str">
        <f t="shared" si="1"/>
        <v>Include in dashboard &amp; SQL analysis</v>
      </c>
      <c r="K40" s="6" t="str">
        <f t="shared" si="2"/>
        <v>Complete 2019–2024 Large-Hub peer; retained for full-population benchmarking</v>
      </c>
    </row>
    <row r="41" spans="1:11" ht="28">
      <c r="A41" s="6" t="str">
        <f>Candidate_Set_33!A34</f>
        <v>MDW</v>
      </c>
      <c r="B41" s="6" t="str">
        <f>Candidate_Set_33!B34</f>
        <v>Chicago Midway International</v>
      </c>
      <c r="C41" s="6" t="str">
        <f>Candidate_Set_33!C34</f>
        <v>Large</v>
      </c>
      <c r="D41" s="6" t="str">
        <f t="shared" si="0"/>
        <v>Yes</v>
      </c>
      <c r="E41" s="6">
        <f>IFERROR(INDEX(Airport_Master!$K$2:$K$64,MATCH(A41,Airport_Master!$A$2:$A$64,0)),"")</f>
        <v>31</v>
      </c>
      <c r="F41" s="6">
        <f>Candidate_Set_33!D34</f>
        <v>6</v>
      </c>
      <c r="G41" s="23">
        <f>Candidate_Set_33!E34</f>
        <v>1</v>
      </c>
      <c r="H41" s="6" t="s">
        <v>602</v>
      </c>
      <c r="I41" s="6" t="s">
        <v>603</v>
      </c>
      <c r="J41" s="6" t="str">
        <f t="shared" si="1"/>
        <v>Include in dashboard &amp; SQL analysis</v>
      </c>
      <c r="K41" s="6" t="str">
        <f t="shared" si="2"/>
        <v>Complete 2019–2024 Large-Hub peer; retained for full-population benchmarking</v>
      </c>
    </row>
    <row r="44" spans="1:11" ht="28">
      <c r="A44" s="37" t="s">
        <v>608</v>
      </c>
      <c r="B44" s="37" t="s">
        <v>609</v>
      </c>
      <c r="C44" s="37" t="s">
        <v>610</v>
      </c>
      <c r="D44" s="37" t="s">
        <v>611</v>
      </c>
    </row>
    <row r="45" spans="1:11" ht="112">
      <c r="A45" s="6" t="s">
        <v>612</v>
      </c>
      <c r="B45" s="6" t="s">
        <v>613</v>
      </c>
      <c r="C45" s="6" t="s">
        <v>614</v>
      </c>
      <c r="D45" s="6" t="s">
        <v>615</v>
      </c>
    </row>
    <row r="46" spans="1:11" ht="98">
      <c r="A46" s="6" t="s">
        <v>616</v>
      </c>
      <c r="B46" s="6" t="s">
        <v>617</v>
      </c>
      <c r="C46" s="6" t="s">
        <v>618</v>
      </c>
      <c r="D46" s="6" t="s">
        <v>619</v>
      </c>
    </row>
    <row r="47" spans="1:11" ht="126">
      <c r="A47" s="6" t="s">
        <v>620</v>
      </c>
      <c r="B47" s="6" t="s">
        <v>621</v>
      </c>
      <c r="C47" s="6" t="s">
        <v>622</v>
      </c>
      <c r="D47" s="6" t="s">
        <v>623</v>
      </c>
    </row>
    <row r="48" spans="1:11" ht="98">
      <c r="A48" s="6" t="s">
        <v>624</v>
      </c>
      <c r="B48" s="6" t="s">
        <v>625</v>
      </c>
      <c r="C48" s="6" t="s">
        <v>626</v>
      </c>
      <c r="D48" s="6" t="s">
        <v>627</v>
      </c>
    </row>
  </sheetData>
  <mergeCells count="2">
    <mergeCell ref="A1:K1"/>
    <mergeCell ref="A2:K2"/>
  </mergeCells>
  <conditionalFormatting sqref="D9:D41">
    <cfRule type="expression" dxfId="10" priority="1">
      <formula>D9="Yes"</formula>
    </cfRule>
    <cfRule type="expression" dxfId="9" priority="2">
      <formula>D9="Reserve"</formula>
    </cfRule>
  </conditionalFormatting>
  <conditionalFormatting sqref="G9:G41">
    <cfRule type="colorScale" priority="3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187"/>
  <sheetViews>
    <sheetView workbookViewId="0"/>
  </sheetViews>
  <sheetFormatPr defaultRowHeight="14"/>
  <cols>
    <col min="1" max="1" width="15" customWidth="1"/>
    <col min="2" max="2" width="12" customWidth="1"/>
    <col min="3" max="3" width="40" customWidth="1"/>
    <col min="4" max="4" width="18" customWidth="1"/>
    <col min="5" max="5" width="8" customWidth="1"/>
    <col min="6" max="6" width="10" customWidth="1"/>
    <col min="7" max="7" width="9" customWidth="1"/>
    <col min="8" max="8" width="16" customWidth="1"/>
    <col min="9" max="24" width="20" customWidth="1"/>
    <col min="25" max="25" width="23" customWidth="1"/>
    <col min="26" max="26" width="22" customWidth="1"/>
    <col min="27" max="33" width="20" customWidth="1"/>
    <col min="34" max="34" width="22" customWidth="1"/>
    <col min="35" max="35" width="55" customWidth="1"/>
    <col min="36" max="36" width="34" customWidth="1"/>
    <col min="37" max="37" width="42" customWidth="1"/>
  </cols>
  <sheetData>
    <row r="1" spans="1:37" ht="28">
      <c r="A1" s="39" t="s">
        <v>628</v>
      </c>
      <c r="B1" s="39" t="s">
        <v>0</v>
      </c>
      <c r="C1" s="39" t="s">
        <v>1</v>
      </c>
      <c r="D1" s="39" t="s">
        <v>2</v>
      </c>
      <c r="E1" s="39" t="s">
        <v>3</v>
      </c>
      <c r="F1" s="39" t="s">
        <v>4</v>
      </c>
      <c r="G1" s="39" t="s">
        <v>5</v>
      </c>
      <c r="H1" s="39" t="s">
        <v>6</v>
      </c>
      <c r="I1" s="39" t="s">
        <v>7</v>
      </c>
      <c r="J1" s="40" t="s">
        <v>8</v>
      </c>
      <c r="K1" s="40" t="s">
        <v>9</v>
      </c>
      <c r="L1" s="39" t="s">
        <v>10</v>
      </c>
      <c r="M1" s="39" t="s">
        <v>11</v>
      </c>
      <c r="N1" s="39" t="s">
        <v>12</v>
      </c>
      <c r="O1" s="39" t="s">
        <v>13</v>
      </c>
      <c r="P1" s="40" t="s">
        <v>14</v>
      </c>
      <c r="Q1" s="39" t="s">
        <v>15</v>
      </c>
      <c r="R1" s="40" t="s">
        <v>16</v>
      </c>
      <c r="S1" s="40" t="s">
        <v>17</v>
      </c>
      <c r="T1" s="39" t="s">
        <v>18</v>
      </c>
      <c r="U1" s="39" t="s">
        <v>19</v>
      </c>
      <c r="V1" s="39" t="s">
        <v>20</v>
      </c>
      <c r="W1" s="39" t="s">
        <v>21</v>
      </c>
      <c r="X1" s="39" t="s">
        <v>22</v>
      </c>
      <c r="Y1" s="39" t="s">
        <v>629</v>
      </c>
      <c r="Z1" s="39" t="s">
        <v>630</v>
      </c>
      <c r="AA1" s="39" t="s">
        <v>631</v>
      </c>
      <c r="AB1" s="39" t="s">
        <v>632</v>
      </c>
      <c r="AC1" s="39" t="s">
        <v>633</v>
      </c>
      <c r="AD1" s="39" t="s">
        <v>634</v>
      </c>
      <c r="AE1" s="39" t="s">
        <v>635</v>
      </c>
      <c r="AF1" s="39" t="s">
        <v>636</v>
      </c>
      <c r="AG1" s="39" t="s">
        <v>637</v>
      </c>
      <c r="AH1" s="39" t="s">
        <v>638</v>
      </c>
      <c r="AI1" s="39" t="s">
        <v>599</v>
      </c>
      <c r="AJ1" s="39" t="s">
        <v>23</v>
      </c>
      <c r="AK1" s="39" t="s">
        <v>24</v>
      </c>
    </row>
    <row r="2" spans="1:37" ht="28">
      <c r="A2" s="6" t="str">
        <f t="shared" ref="A2:A33" si="0">B2&amp;"-"&amp;G2</f>
        <v>ATL-2019</v>
      </c>
      <c r="B2" s="6" t="s">
        <v>27</v>
      </c>
      <c r="C2" s="6" t="s">
        <v>28</v>
      </c>
      <c r="D2" s="6" t="s">
        <v>29</v>
      </c>
      <c r="E2" s="6" t="s">
        <v>30</v>
      </c>
      <c r="F2" s="6" t="s">
        <v>31</v>
      </c>
      <c r="G2" s="11">
        <v>2019</v>
      </c>
      <c r="H2" s="9">
        <v>54531948</v>
      </c>
      <c r="I2" s="18">
        <v>568507000</v>
      </c>
      <c r="J2" s="41"/>
      <c r="K2" s="41"/>
      <c r="L2" s="18">
        <v>55845000</v>
      </c>
      <c r="M2" s="18">
        <v>52259000</v>
      </c>
      <c r="N2" s="18">
        <v>43607000</v>
      </c>
      <c r="O2" s="18">
        <v>159640000</v>
      </c>
      <c r="P2" s="41"/>
      <c r="Q2" s="18">
        <v>12955000</v>
      </c>
      <c r="R2" s="41"/>
      <c r="S2" s="41"/>
      <c r="T2" s="18">
        <v>316189000</v>
      </c>
      <c r="U2" s="18">
        <v>-5195000</v>
      </c>
      <c r="V2" s="18">
        <v>1077677000</v>
      </c>
      <c r="W2" s="18">
        <v>3148793000</v>
      </c>
      <c r="X2" s="18">
        <v>157871000</v>
      </c>
      <c r="Y2" s="18">
        <f t="shared" ref="Y2:Y33" si="1">SUM(L2:S2)</f>
        <v>324306000</v>
      </c>
      <c r="Z2" s="42">
        <f t="shared" ref="Z2:Z33" si="2">IFERROR(Y2/I2,0)</f>
        <v>0.57045207886622329</v>
      </c>
      <c r="AA2" s="6" t="str">
        <f t="shared" ref="AA2:AA33" si="3">IF(OR(H2="",I2="",T2="",U2=""),"Yes","No")</f>
        <v>No</v>
      </c>
      <c r="AB2" s="6" t="str">
        <f t="shared" ref="AB2:AB33" si="4">IF(OR(AND(L2&lt;&gt;"",L2=0),AND(M2&lt;&gt;"",M2=0),AND(N2&lt;&gt;"",N2=0),AND(O2&lt;&gt;"",O2=0),AND(Q2&lt;&gt;"",Q2=0)),"Yes","No")</f>
        <v>No</v>
      </c>
      <c r="AC2" s="6" t="str">
        <f t="shared" ref="AC2:AC33" si="5">IF(MIN(L2:O2,Q2)&lt;0,"Yes","No")</f>
        <v>No</v>
      </c>
      <c r="AD2" s="6" t="str">
        <f t="shared" ref="AD2:AD33" si="6">IF(U2&lt;0,"Yes","No")</f>
        <v>Yes</v>
      </c>
      <c r="AE2" s="6" t="str">
        <f t="shared" ref="AE2:AE33" si="7">IF(COUNTIFS($B$2:$B$187,B2,$G$2:$G$187,G2)&gt;1,"Yes","No")</f>
        <v>No</v>
      </c>
      <c r="AF2" s="6" t="s">
        <v>639</v>
      </c>
      <c r="AG2" s="6" t="str">
        <f t="shared" ref="AG2:AG33" si="8">IF(OR(J2="",K2="",P2="",R2="",S2=""),"Yes","No")</f>
        <v>Yes</v>
      </c>
      <c r="AH2" s="6" t="str">
        <f t="shared" ref="AH2:AH33" si="9">IF(OR(AA2="Yes",AE2="Yes"),"Review - Core/Duplicate",IF(OR(AB2="Yes",AC2="Yes"),"Clean - Flagged","Clean"))</f>
        <v>Clean</v>
      </c>
      <c r="AI2" s="6" t="s">
        <v>602</v>
      </c>
      <c r="AJ2" s="6" t="s">
        <v>32</v>
      </c>
      <c r="AK2" s="6" t="s">
        <v>33</v>
      </c>
    </row>
    <row r="3" spans="1:37" ht="28">
      <c r="A3" s="6" t="str">
        <f t="shared" si="0"/>
        <v>ATL-2020</v>
      </c>
      <c r="B3" s="6" t="s">
        <v>27</v>
      </c>
      <c r="C3" s="6" t="s">
        <v>28</v>
      </c>
      <c r="D3" s="6" t="s">
        <v>29</v>
      </c>
      <c r="E3" s="6" t="s">
        <v>30</v>
      </c>
      <c r="F3" s="6" t="s">
        <v>31</v>
      </c>
      <c r="G3" s="11">
        <v>2020</v>
      </c>
      <c r="H3" s="9">
        <v>39747596</v>
      </c>
      <c r="I3" s="18">
        <v>442318000</v>
      </c>
      <c r="J3" s="41"/>
      <c r="K3" s="41"/>
      <c r="L3" s="18">
        <v>42960000</v>
      </c>
      <c r="M3" s="18">
        <v>32688000</v>
      </c>
      <c r="N3" s="18">
        <v>32001000</v>
      </c>
      <c r="O3" s="18">
        <v>117313000</v>
      </c>
      <c r="P3" s="41"/>
      <c r="Q3" s="18">
        <v>12239000</v>
      </c>
      <c r="R3" s="41"/>
      <c r="S3" s="41"/>
      <c r="T3" s="18">
        <v>323202000</v>
      </c>
      <c r="U3" s="18">
        <v>-153378000</v>
      </c>
      <c r="V3" s="18">
        <v>793389000</v>
      </c>
      <c r="W3" s="18">
        <v>3417948000</v>
      </c>
      <c r="X3" s="18">
        <v>132337000</v>
      </c>
      <c r="Y3" s="18">
        <f t="shared" si="1"/>
        <v>237201000</v>
      </c>
      <c r="Z3" s="42">
        <f t="shared" si="2"/>
        <v>0.53626802436256271</v>
      </c>
      <c r="AA3" s="6" t="str">
        <f t="shared" si="3"/>
        <v>No</v>
      </c>
      <c r="AB3" s="6" t="str">
        <f t="shared" si="4"/>
        <v>No</v>
      </c>
      <c r="AC3" s="6" t="str">
        <f t="shared" si="5"/>
        <v>No</v>
      </c>
      <c r="AD3" s="6" t="str">
        <f t="shared" si="6"/>
        <v>Yes</v>
      </c>
      <c r="AE3" s="6" t="str">
        <f t="shared" si="7"/>
        <v>No</v>
      </c>
      <c r="AF3" s="6" t="s">
        <v>639</v>
      </c>
      <c r="AG3" s="6" t="str">
        <f t="shared" si="8"/>
        <v>Yes</v>
      </c>
      <c r="AH3" s="6" t="str">
        <f t="shared" si="9"/>
        <v>Clean</v>
      </c>
      <c r="AI3" s="6" t="s">
        <v>602</v>
      </c>
      <c r="AJ3" s="6" t="s">
        <v>32</v>
      </c>
      <c r="AK3" s="6" t="s">
        <v>33</v>
      </c>
    </row>
    <row r="4" spans="1:37" ht="28">
      <c r="A4" s="6" t="str">
        <f t="shared" si="0"/>
        <v>ATL-2021</v>
      </c>
      <c r="B4" s="6" t="s">
        <v>27</v>
      </c>
      <c r="C4" s="6" t="s">
        <v>28</v>
      </c>
      <c r="D4" s="6" t="s">
        <v>29</v>
      </c>
      <c r="E4" s="6" t="s">
        <v>30</v>
      </c>
      <c r="F4" s="6" t="s">
        <v>31</v>
      </c>
      <c r="G4" s="11">
        <v>2021</v>
      </c>
      <c r="H4" s="9">
        <v>24928472</v>
      </c>
      <c r="I4" s="18">
        <v>354470000</v>
      </c>
      <c r="J4" s="41"/>
      <c r="K4" s="41"/>
      <c r="L4" s="18">
        <v>15375000</v>
      </c>
      <c r="M4" s="18">
        <v>9696000</v>
      </c>
      <c r="N4" s="18">
        <v>33423000</v>
      </c>
      <c r="O4" s="18">
        <v>71047000</v>
      </c>
      <c r="P4" s="41"/>
      <c r="Q4" s="18">
        <v>3468000</v>
      </c>
      <c r="R4" s="41"/>
      <c r="S4" s="41"/>
      <c r="T4" s="18">
        <v>318621000</v>
      </c>
      <c r="U4" s="18">
        <v>-249958000</v>
      </c>
      <c r="V4" s="18">
        <v>741487000</v>
      </c>
      <c r="W4" s="18">
        <v>3366052000</v>
      </c>
      <c r="X4" s="18">
        <v>142332000</v>
      </c>
      <c r="Y4" s="18">
        <f t="shared" si="1"/>
        <v>133009000</v>
      </c>
      <c r="Z4" s="42">
        <f t="shared" si="2"/>
        <v>0.37523344711823287</v>
      </c>
      <c r="AA4" s="6" t="str">
        <f t="shared" si="3"/>
        <v>No</v>
      </c>
      <c r="AB4" s="6" t="str">
        <f t="shared" si="4"/>
        <v>No</v>
      </c>
      <c r="AC4" s="6" t="str">
        <f t="shared" si="5"/>
        <v>No</v>
      </c>
      <c r="AD4" s="6" t="str">
        <f t="shared" si="6"/>
        <v>Yes</v>
      </c>
      <c r="AE4" s="6" t="str">
        <f t="shared" si="7"/>
        <v>No</v>
      </c>
      <c r="AF4" s="6" t="s">
        <v>639</v>
      </c>
      <c r="AG4" s="6" t="str">
        <f t="shared" si="8"/>
        <v>Yes</v>
      </c>
      <c r="AH4" s="6" t="str">
        <f t="shared" si="9"/>
        <v>Clean</v>
      </c>
      <c r="AI4" s="6" t="s">
        <v>602</v>
      </c>
      <c r="AJ4" s="6" t="s">
        <v>32</v>
      </c>
      <c r="AK4" s="6" t="s">
        <v>33</v>
      </c>
    </row>
    <row r="5" spans="1:37" ht="28">
      <c r="A5" s="6" t="str">
        <f t="shared" si="0"/>
        <v>ATL-2022</v>
      </c>
      <c r="B5" s="6" t="s">
        <v>27</v>
      </c>
      <c r="C5" s="6" t="s">
        <v>28</v>
      </c>
      <c r="D5" s="6" t="s">
        <v>29</v>
      </c>
      <c r="E5" s="6" t="s">
        <v>30</v>
      </c>
      <c r="F5" s="6" t="s">
        <v>31</v>
      </c>
      <c r="G5" s="11">
        <v>2022</v>
      </c>
      <c r="H5" s="9">
        <v>44860920</v>
      </c>
      <c r="I5" s="18">
        <v>379356000</v>
      </c>
      <c r="J5" s="41"/>
      <c r="K5" s="41"/>
      <c r="L5" s="18">
        <v>17315000</v>
      </c>
      <c r="M5" s="18">
        <v>11485000</v>
      </c>
      <c r="N5" s="18">
        <v>45636000</v>
      </c>
      <c r="O5" s="18">
        <v>158141000</v>
      </c>
      <c r="P5" s="41"/>
      <c r="Q5" s="18">
        <v>4690000</v>
      </c>
      <c r="R5" s="41"/>
      <c r="S5" s="41"/>
      <c r="T5" s="18">
        <v>308864000</v>
      </c>
      <c r="U5" s="18">
        <v>-221088000</v>
      </c>
      <c r="V5" s="18">
        <v>1081124000</v>
      </c>
      <c r="W5" s="18">
        <v>3809061000</v>
      </c>
      <c r="X5" s="18">
        <v>46714000</v>
      </c>
      <c r="Y5" s="18">
        <f t="shared" si="1"/>
        <v>237267000</v>
      </c>
      <c r="Z5" s="42">
        <f t="shared" si="2"/>
        <v>0.62544680985670453</v>
      </c>
      <c r="AA5" s="6" t="str">
        <f t="shared" si="3"/>
        <v>No</v>
      </c>
      <c r="AB5" s="6" t="str">
        <f t="shared" si="4"/>
        <v>No</v>
      </c>
      <c r="AC5" s="6" t="str">
        <f t="shared" si="5"/>
        <v>No</v>
      </c>
      <c r="AD5" s="6" t="str">
        <f t="shared" si="6"/>
        <v>Yes</v>
      </c>
      <c r="AE5" s="6" t="str">
        <f t="shared" si="7"/>
        <v>No</v>
      </c>
      <c r="AF5" s="6" t="s">
        <v>639</v>
      </c>
      <c r="AG5" s="6" t="str">
        <f t="shared" si="8"/>
        <v>Yes</v>
      </c>
      <c r="AH5" s="6" t="str">
        <f t="shared" si="9"/>
        <v>Clean</v>
      </c>
      <c r="AI5" s="6" t="s">
        <v>602</v>
      </c>
      <c r="AJ5" s="6" t="s">
        <v>32</v>
      </c>
      <c r="AK5" s="6" t="s">
        <v>33</v>
      </c>
    </row>
    <row r="6" spans="1:37" ht="28">
      <c r="A6" s="6" t="str">
        <f t="shared" si="0"/>
        <v>ATL-2023</v>
      </c>
      <c r="B6" s="6" t="s">
        <v>27</v>
      </c>
      <c r="C6" s="6" t="s">
        <v>28</v>
      </c>
      <c r="D6" s="6" t="s">
        <v>29</v>
      </c>
      <c r="E6" s="6" t="s">
        <v>30</v>
      </c>
      <c r="F6" s="6" t="s">
        <v>31</v>
      </c>
      <c r="G6" s="11">
        <v>2023</v>
      </c>
      <c r="H6" s="9">
        <v>49691940</v>
      </c>
      <c r="I6" s="18">
        <v>508301000</v>
      </c>
      <c r="J6" s="41"/>
      <c r="K6" s="41"/>
      <c r="L6" s="18">
        <v>33455000</v>
      </c>
      <c r="M6" s="18">
        <v>21847000</v>
      </c>
      <c r="N6" s="18">
        <v>53039000</v>
      </c>
      <c r="O6" s="18">
        <v>176694000</v>
      </c>
      <c r="P6" s="41"/>
      <c r="Q6" s="18">
        <v>6131000</v>
      </c>
      <c r="R6" s="41"/>
      <c r="S6" s="41"/>
      <c r="T6" s="18">
        <v>371155000</v>
      </c>
      <c r="U6" s="18">
        <v>-167133000</v>
      </c>
      <c r="V6" s="18">
        <v>1081740000</v>
      </c>
      <c r="W6" s="18">
        <v>3471964000</v>
      </c>
      <c r="X6" s="18">
        <v>112705000</v>
      </c>
      <c r="Y6" s="18">
        <f t="shared" si="1"/>
        <v>291166000</v>
      </c>
      <c r="Z6" s="42">
        <f t="shared" si="2"/>
        <v>0.57282200900647451</v>
      </c>
      <c r="AA6" s="6" t="str">
        <f t="shared" si="3"/>
        <v>No</v>
      </c>
      <c r="AB6" s="6" t="str">
        <f t="shared" si="4"/>
        <v>No</v>
      </c>
      <c r="AC6" s="6" t="str">
        <f t="shared" si="5"/>
        <v>No</v>
      </c>
      <c r="AD6" s="6" t="str">
        <f t="shared" si="6"/>
        <v>Yes</v>
      </c>
      <c r="AE6" s="6" t="str">
        <f t="shared" si="7"/>
        <v>No</v>
      </c>
      <c r="AF6" s="6" t="s">
        <v>639</v>
      </c>
      <c r="AG6" s="6" t="str">
        <f t="shared" si="8"/>
        <v>Yes</v>
      </c>
      <c r="AH6" s="6" t="str">
        <f t="shared" si="9"/>
        <v>Clean</v>
      </c>
      <c r="AI6" s="6" t="s">
        <v>602</v>
      </c>
      <c r="AJ6" s="6" t="s">
        <v>32</v>
      </c>
      <c r="AK6" s="6" t="s">
        <v>33</v>
      </c>
    </row>
    <row r="7" spans="1:37" ht="28">
      <c r="A7" s="6" t="str">
        <f t="shared" si="0"/>
        <v>ATL-2024</v>
      </c>
      <c r="B7" s="6" t="s">
        <v>27</v>
      </c>
      <c r="C7" s="6" t="s">
        <v>28</v>
      </c>
      <c r="D7" s="6" t="s">
        <v>29</v>
      </c>
      <c r="E7" s="6" t="s">
        <v>30</v>
      </c>
      <c r="F7" s="6" t="s">
        <v>31</v>
      </c>
      <c r="G7" s="11">
        <v>2024</v>
      </c>
      <c r="H7" s="9">
        <v>53681363</v>
      </c>
      <c r="I7" s="18">
        <v>682121000</v>
      </c>
      <c r="J7" s="41"/>
      <c r="K7" s="41"/>
      <c r="L7" s="18">
        <v>65475000</v>
      </c>
      <c r="M7" s="18">
        <v>47319000</v>
      </c>
      <c r="N7" s="18">
        <v>54030000</v>
      </c>
      <c r="O7" s="18">
        <v>179454000</v>
      </c>
      <c r="P7" s="41"/>
      <c r="Q7" s="18">
        <v>14575000</v>
      </c>
      <c r="R7" s="41"/>
      <c r="S7" s="41"/>
      <c r="T7" s="18">
        <v>403204000</v>
      </c>
      <c r="U7" s="18">
        <v>-40446000</v>
      </c>
      <c r="V7" s="18">
        <v>1593429000</v>
      </c>
      <c r="W7" s="18">
        <v>4407374000</v>
      </c>
      <c r="X7" s="18">
        <v>211157000</v>
      </c>
      <c r="Y7" s="18">
        <f t="shared" si="1"/>
        <v>360853000</v>
      </c>
      <c r="Z7" s="42">
        <f t="shared" si="2"/>
        <v>0.52901611297702311</v>
      </c>
      <c r="AA7" s="6" t="str">
        <f t="shared" si="3"/>
        <v>No</v>
      </c>
      <c r="AB7" s="6" t="str">
        <f t="shared" si="4"/>
        <v>No</v>
      </c>
      <c r="AC7" s="6" t="str">
        <f t="shared" si="5"/>
        <v>No</v>
      </c>
      <c r="AD7" s="6" t="str">
        <f t="shared" si="6"/>
        <v>Yes</v>
      </c>
      <c r="AE7" s="6" t="str">
        <f t="shared" si="7"/>
        <v>No</v>
      </c>
      <c r="AF7" s="6" t="s">
        <v>639</v>
      </c>
      <c r="AG7" s="6" t="str">
        <f t="shared" si="8"/>
        <v>Yes</v>
      </c>
      <c r="AH7" s="6" t="str">
        <f t="shared" si="9"/>
        <v>Clean</v>
      </c>
      <c r="AI7" s="6" t="s">
        <v>602</v>
      </c>
      <c r="AJ7" s="6" t="s">
        <v>32</v>
      </c>
      <c r="AK7" s="6" t="s">
        <v>33</v>
      </c>
    </row>
    <row r="8" spans="1:37" ht="28">
      <c r="A8" s="6" t="str">
        <f t="shared" si="0"/>
        <v>AUS-2019</v>
      </c>
      <c r="B8" s="6" t="s">
        <v>134</v>
      </c>
      <c r="C8" s="6" t="s">
        <v>135</v>
      </c>
      <c r="D8" s="6" t="s">
        <v>136</v>
      </c>
      <c r="E8" s="6" t="s">
        <v>39</v>
      </c>
      <c r="F8" s="6" t="s">
        <v>31</v>
      </c>
      <c r="G8" s="11">
        <v>2019</v>
      </c>
      <c r="H8" s="9">
        <v>8464615</v>
      </c>
      <c r="I8" s="18">
        <v>180290000</v>
      </c>
      <c r="J8" s="41"/>
      <c r="K8" s="41"/>
      <c r="L8" s="18">
        <v>12076000</v>
      </c>
      <c r="M8" s="18">
        <v>4686000</v>
      </c>
      <c r="N8" s="18">
        <v>15693000</v>
      </c>
      <c r="O8" s="18">
        <v>47648000</v>
      </c>
      <c r="P8" s="41"/>
      <c r="Q8" s="18">
        <v>4368000</v>
      </c>
      <c r="R8" s="41"/>
      <c r="S8" s="41"/>
      <c r="T8" s="18">
        <v>131753000</v>
      </c>
      <c r="U8" s="18">
        <v>13317000</v>
      </c>
      <c r="V8" s="18">
        <v>198538000</v>
      </c>
      <c r="W8" s="18">
        <v>1024367000</v>
      </c>
      <c r="X8" s="18">
        <v>75119000</v>
      </c>
      <c r="Y8" s="18">
        <f t="shared" si="1"/>
        <v>84471000</v>
      </c>
      <c r="Z8" s="42">
        <f t="shared" si="2"/>
        <v>0.4685284818902879</v>
      </c>
      <c r="AA8" s="6" t="str">
        <f t="shared" si="3"/>
        <v>No</v>
      </c>
      <c r="AB8" s="6" t="str">
        <f t="shared" si="4"/>
        <v>No</v>
      </c>
      <c r="AC8" s="6" t="str">
        <f t="shared" si="5"/>
        <v>No</v>
      </c>
      <c r="AD8" s="6" t="str">
        <f t="shared" si="6"/>
        <v>No</v>
      </c>
      <c r="AE8" s="6" t="str">
        <f t="shared" si="7"/>
        <v>No</v>
      </c>
      <c r="AF8" s="6" t="s">
        <v>639</v>
      </c>
      <c r="AG8" s="6" t="str">
        <f t="shared" si="8"/>
        <v>Yes</v>
      </c>
      <c r="AH8" s="6" t="str">
        <f t="shared" si="9"/>
        <v>Clean</v>
      </c>
      <c r="AI8" s="6" t="s">
        <v>602</v>
      </c>
      <c r="AJ8" s="6" t="s">
        <v>32</v>
      </c>
      <c r="AK8" s="6" t="s">
        <v>137</v>
      </c>
    </row>
    <row r="9" spans="1:37" ht="28">
      <c r="A9" s="6" t="str">
        <f t="shared" si="0"/>
        <v>AUS-2020</v>
      </c>
      <c r="B9" s="6" t="s">
        <v>134</v>
      </c>
      <c r="C9" s="6" t="s">
        <v>135</v>
      </c>
      <c r="D9" s="6" t="s">
        <v>136</v>
      </c>
      <c r="E9" s="6" t="s">
        <v>39</v>
      </c>
      <c r="F9" s="6" t="s">
        <v>31</v>
      </c>
      <c r="G9" s="11">
        <v>2020</v>
      </c>
      <c r="H9" s="9">
        <v>4723544</v>
      </c>
      <c r="I9" s="18">
        <v>144637000</v>
      </c>
      <c r="J9" s="41"/>
      <c r="K9" s="41"/>
      <c r="L9" s="18">
        <v>7321000</v>
      </c>
      <c r="M9" s="18">
        <v>3241000</v>
      </c>
      <c r="N9" s="18">
        <v>10259000</v>
      </c>
      <c r="O9" s="18">
        <v>27322000</v>
      </c>
      <c r="P9" s="41"/>
      <c r="Q9" s="18">
        <v>4698000</v>
      </c>
      <c r="R9" s="41"/>
      <c r="S9" s="41"/>
      <c r="T9" s="18">
        <v>136823000</v>
      </c>
      <c r="U9" s="18">
        <v>-34656000</v>
      </c>
      <c r="V9" s="18">
        <v>106183000</v>
      </c>
      <c r="W9" s="18">
        <v>1009122000</v>
      </c>
      <c r="X9" s="18">
        <v>71440000</v>
      </c>
      <c r="Y9" s="18">
        <f t="shared" si="1"/>
        <v>52841000</v>
      </c>
      <c r="Z9" s="42">
        <f t="shared" si="2"/>
        <v>0.36533528765115425</v>
      </c>
      <c r="AA9" s="6" t="str">
        <f t="shared" si="3"/>
        <v>No</v>
      </c>
      <c r="AB9" s="6" t="str">
        <f t="shared" si="4"/>
        <v>No</v>
      </c>
      <c r="AC9" s="6" t="str">
        <f t="shared" si="5"/>
        <v>No</v>
      </c>
      <c r="AD9" s="6" t="str">
        <f t="shared" si="6"/>
        <v>Yes</v>
      </c>
      <c r="AE9" s="6" t="str">
        <f t="shared" si="7"/>
        <v>No</v>
      </c>
      <c r="AF9" s="6" t="s">
        <v>639</v>
      </c>
      <c r="AG9" s="6" t="str">
        <f t="shared" si="8"/>
        <v>Yes</v>
      </c>
      <c r="AH9" s="6" t="str">
        <f t="shared" si="9"/>
        <v>Clean</v>
      </c>
      <c r="AI9" s="6" t="s">
        <v>602</v>
      </c>
      <c r="AJ9" s="6" t="s">
        <v>32</v>
      </c>
      <c r="AK9" s="6" t="s">
        <v>137</v>
      </c>
    </row>
    <row r="10" spans="1:37" ht="28">
      <c r="A10" s="6" t="str">
        <f t="shared" si="0"/>
        <v>AUS-2021</v>
      </c>
      <c r="B10" s="6" t="s">
        <v>134</v>
      </c>
      <c r="C10" s="6" t="s">
        <v>135</v>
      </c>
      <c r="D10" s="6" t="s">
        <v>136</v>
      </c>
      <c r="E10" s="6" t="s">
        <v>39</v>
      </c>
      <c r="F10" s="6" t="s">
        <v>31</v>
      </c>
      <c r="G10" s="11">
        <v>2021</v>
      </c>
      <c r="H10" s="9">
        <v>5207769</v>
      </c>
      <c r="I10" s="18">
        <v>155711000</v>
      </c>
      <c r="J10" s="41"/>
      <c r="K10" s="41"/>
      <c r="L10" s="18">
        <v>7593000</v>
      </c>
      <c r="M10" s="18">
        <v>5610000</v>
      </c>
      <c r="N10" s="18">
        <v>12851000</v>
      </c>
      <c r="O10" s="18">
        <v>31569000</v>
      </c>
      <c r="P10" s="41"/>
      <c r="Q10" s="18">
        <v>3955000</v>
      </c>
      <c r="R10" s="41"/>
      <c r="S10" s="41"/>
      <c r="T10" s="18">
        <v>121776000</v>
      </c>
      <c r="U10" s="18">
        <v>-10220000</v>
      </c>
      <c r="V10" s="18">
        <v>69640000</v>
      </c>
      <c r="W10" s="18">
        <v>982245000</v>
      </c>
      <c r="X10" s="18">
        <v>72777000</v>
      </c>
      <c r="Y10" s="18">
        <f t="shared" si="1"/>
        <v>61578000</v>
      </c>
      <c r="Z10" s="42">
        <f t="shared" si="2"/>
        <v>0.39546339051190987</v>
      </c>
      <c r="AA10" s="6" t="str">
        <f t="shared" si="3"/>
        <v>No</v>
      </c>
      <c r="AB10" s="6" t="str">
        <f t="shared" si="4"/>
        <v>No</v>
      </c>
      <c r="AC10" s="6" t="str">
        <f t="shared" si="5"/>
        <v>No</v>
      </c>
      <c r="AD10" s="6" t="str">
        <f t="shared" si="6"/>
        <v>Yes</v>
      </c>
      <c r="AE10" s="6" t="str">
        <f t="shared" si="7"/>
        <v>No</v>
      </c>
      <c r="AF10" s="6" t="s">
        <v>639</v>
      </c>
      <c r="AG10" s="6" t="str">
        <f t="shared" si="8"/>
        <v>Yes</v>
      </c>
      <c r="AH10" s="6" t="str">
        <f t="shared" si="9"/>
        <v>Clean</v>
      </c>
      <c r="AI10" s="6" t="s">
        <v>602</v>
      </c>
      <c r="AJ10" s="6" t="s">
        <v>32</v>
      </c>
      <c r="AK10" s="6" t="s">
        <v>137</v>
      </c>
    </row>
    <row r="11" spans="1:37" ht="28">
      <c r="A11" s="6" t="str">
        <f t="shared" si="0"/>
        <v>AUS-2022</v>
      </c>
      <c r="B11" s="6" t="s">
        <v>134</v>
      </c>
      <c r="C11" s="6" t="s">
        <v>135</v>
      </c>
      <c r="D11" s="6" t="s">
        <v>136</v>
      </c>
      <c r="E11" s="6" t="s">
        <v>39</v>
      </c>
      <c r="F11" s="6" t="s">
        <v>31</v>
      </c>
      <c r="G11" s="11">
        <v>2022</v>
      </c>
      <c r="H11" s="9">
        <v>10133735</v>
      </c>
      <c r="I11" s="18">
        <v>231753000</v>
      </c>
      <c r="J11" s="41"/>
      <c r="K11" s="41"/>
      <c r="L11" s="18">
        <v>15648000</v>
      </c>
      <c r="M11" s="18">
        <v>6739000</v>
      </c>
      <c r="N11" s="18">
        <v>19901000</v>
      </c>
      <c r="O11" s="18">
        <v>67131000</v>
      </c>
      <c r="P11" s="41"/>
      <c r="Q11" s="18">
        <v>7434000</v>
      </c>
      <c r="R11" s="41"/>
      <c r="S11" s="41"/>
      <c r="T11" s="18">
        <v>142496000</v>
      </c>
      <c r="U11" s="18">
        <v>41500000</v>
      </c>
      <c r="V11" s="18">
        <v>56781000</v>
      </c>
      <c r="W11" s="18">
        <v>1372080000</v>
      </c>
      <c r="X11" s="18">
        <v>96964000</v>
      </c>
      <c r="Y11" s="18">
        <f t="shared" si="1"/>
        <v>116853000</v>
      </c>
      <c r="Z11" s="42">
        <f t="shared" si="2"/>
        <v>0.50421353768883248</v>
      </c>
      <c r="AA11" s="6" t="str">
        <f t="shared" si="3"/>
        <v>No</v>
      </c>
      <c r="AB11" s="6" t="str">
        <f t="shared" si="4"/>
        <v>No</v>
      </c>
      <c r="AC11" s="6" t="str">
        <f t="shared" si="5"/>
        <v>No</v>
      </c>
      <c r="AD11" s="6" t="str">
        <f t="shared" si="6"/>
        <v>No</v>
      </c>
      <c r="AE11" s="6" t="str">
        <f t="shared" si="7"/>
        <v>No</v>
      </c>
      <c r="AF11" s="6" t="s">
        <v>639</v>
      </c>
      <c r="AG11" s="6" t="str">
        <f t="shared" si="8"/>
        <v>Yes</v>
      </c>
      <c r="AH11" s="6" t="str">
        <f t="shared" si="9"/>
        <v>Clean</v>
      </c>
      <c r="AI11" s="6" t="s">
        <v>602</v>
      </c>
      <c r="AJ11" s="6" t="s">
        <v>32</v>
      </c>
      <c r="AK11" s="6" t="s">
        <v>137</v>
      </c>
    </row>
    <row r="12" spans="1:37" ht="28">
      <c r="A12" s="6" t="str">
        <f t="shared" si="0"/>
        <v>AUS-2023</v>
      </c>
      <c r="B12" s="6" t="s">
        <v>134</v>
      </c>
      <c r="C12" s="6" t="s">
        <v>135</v>
      </c>
      <c r="D12" s="6" t="s">
        <v>136</v>
      </c>
      <c r="E12" s="6" t="s">
        <v>39</v>
      </c>
      <c r="F12" s="6" t="s">
        <v>31</v>
      </c>
      <c r="G12" s="11">
        <v>2023</v>
      </c>
      <c r="H12" s="9">
        <v>10960717</v>
      </c>
      <c r="I12" s="18">
        <v>278512000</v>
      </c>
      <c r="J12" s="41"/>
      <c r="K12" s="41"/>
      <c r="L12" s="18">
        <v>18683000</v>
      </c>
      <c r="M12" s="18">
        <v>7089000</v>
      </c>
      <c r="N12" s="18">
        <v>20850000</v>
      </c>
      <c r="O12" s="18">
        <v>79408000</v>
      </c>
      <c r="P12" s="41"/>
      <c r="Q12" s="18">
        <v>9392000</v>
      </c>
      <c r="R12" s="41"/>
      <c r="S12" s="41"/>
      <c r="T12" s="18">
        <v>177519000</v>
      </c>
      <c r="U12" s="18">
        <v>51827000</v>
      </c>
      <c r="V12" s="18">
        <v>216216000</v>
      </c>
      <c r="W12" s="18">
        <v>1340355000</v>
      </c>
      <c r="X12" s="18">
        <v>116282000</v>
      </c>
      <c r="Y12" s="18">
        <f t="shared" si="1"/>
        <v>135422000</v>
      </c>
      <c r="Z12" s="42">
        <f t="shared" si="2"/>
        <v>0.48623398632733955</v>
      </c>
      <c r="AA12" s="6" t="str">
        <f t="shared" si="3"/>
        <v>No</v>
      </c>
      <c r="AB12" s="6" t="str">
        <f t="shared" si="4"/>
        <v>No</v>
      </c>
      <c r="AC12" s="6" t="str">
        <f t="shared" si="5"/>
        <v>No</v>
      </c>
      <c r="AD12" s="6" t="str">
        <f t="shared" si="6"/>
        <v>No</v>
      </c>
      <c r="AE12" s="6" t="str">
        <f t="shared" si="7"/>
        <v>No</v>
      </c>
      <c r="AF12" s="6" t="s">
        <v>639</v>
      </c>
      <c r="AG12" s="6" t="str">
        <f t="shared" si="8"/>
        <v>Yes</v>
      </c>
      <c r="AH12" s="6" t="str">
        <f t="shared" si="9"/>
        <v>Clean</v>
      </c>
      <c r="AI12" s="6" t="s">
        <v>602</v>
      </c>
      <c r="AJ12" s="6" t="s">
        <v>32</v>
      </c>
      <c r="AK12" s="6" t="s">
        <v>137</v>
      </c>
    </row>
    <row r="13" spans="1:37" ht="28">
      <c r="A13" s="6" t="str">
        <f t="shared" si="0"/>
        <v>AUS-2024</v>
      </c>
      <c r="B13" s="6" t="s">
        <v>134</v>
      </c>
      <c r="C13" s="6" t="s">
        <v>135</v>
      </c>
      <c r="D13" s="6" t="s">
        <v>136</v>
      </c>
      <c r="E13" s="6" t="s">
        <v>39</v>
      </c>
      <c r="F13" s="6" t="s">
        <v>31</v>
      </c>
      <c r="G13" s="11">
        <v>2024</v>
      </c>
      <c r="H13" s="9">
        <v>11006681</v>
      </c>
      <c r="I13" s="18">
        <v>324743000</v>
      </c>
      <c r="J13" s="41"/>
      <c r="K13" s="41"/>
      <c r="L13" s="18">
        <v>19978000</v>
      </c>
      <c r="M13" s="18">
        <v>6951000</v>
      </c>
      <c r="N13" s="18">
        <v>21620000</v>
      </c>
      <c r="O13" s="18">
        <v>86837000</v>
      </c>
      <c r="P13" s="41"/>
      <c r="Q13" s="18">
        <v>10818000</v>
      </c>
      <c r="R13" s="41"/>
      <c r="S13" s="41"/>
      <c r="T13" s="18">
        <v>167743000</v>
      </c>
      <c r="U13" s="18">
        <v>107501000</v>
      </c>
      <c r="V13" s="18">
        <v>151055000</v>
      </c>
      <c r="W13" s="18">
        <v>1307305000</v>
      </c>
      <c r="X13" s="18">
        <v>149063000</v>
      </c>
      <c r="Y13" s="18">
        <f t="shared" si="1"/>
        <v>146204000</v>
      </c>
      <c r="Z13" s="42">
        <f t="shared" si="2"/>
        <v>0.45021447729435277</v>
      </c>
      <c r="AA13" s="6" t="str">
        <f t="shared" si="3"/>
        <v>No</v>
      </c>
      <c r="AB13" s="6" t="str">
        <f t="shared" si="4"/>
        <v>No</v>
      </c>
      <c r="AC13" s="6" t="str">
        <f t="shared" si="5"/>
        <v>No</v>
      </c>
      <c r="AD13" s="6" t="str">
        <f t="shared" si="6"/>
        <v>No</v>
      </c>
      <c r="AE13" s="6" t="str">
        <f t="shared" si="7"/>
        <v>No</v>
      </c>
      <c r="AF13" s="6" t="s">
        <v>639</v>
      </c>
      <c r="AG13" s="6" t="str">
        <f t="shared" si="8"/>
        <v>Yes</v>
      </c>
      <c r="AH13" s="6" t="str">
        <f t="shared" si="9"/>
        <v>Clean</v>
      </c>
      <c r="AI13" s="6" t="s">
        <v>602</v>
      </c>
      <c r="AJ13" s="6" t="s">
        <v>32</v>
      </c>
      <c r="AK13" s="6" t="s">
        <v>137</v>
      </c>
    </row>
    <row r="14" spans="1:37" ht="28">
      <c r="A14" s="6" t="str">
        <f t="shared" si="0"/>
        <v>BNA-2019</v>
      </c>
      <c r="B14" s="6" t="s">
        <v>142</v>
      </c>
      <c r="C14" s="6" t="s">
        <v>143</v>
      </c>
      <c r="D14" s="6" t="s">
        <v>144</v>
      </c>
      <c r="E14" s="6" t="s">
        <v>145</v>
      </c>
      <c r="F14" s="6" t="s">
        <v>31</v>
      </c>
      <c r="G14" s="11">
        <v>2019</v>
      </c>
      <c r="H14" s="9">
        <v>8596307</v>
      </c>
      <c r="I14" s="18">
        <v>165926000</v>
      </c>
      <c r="J14" s="41"/>
      <c r="K14" s="41"/>
      <c r="L14" s="18">
        <v>8827000</v>
      </c>
      <c r="M14" s="18">
        <v>2212000</v>
      </c>
      <c r="N14" s="18">
        <v>16183000</v>
      </c>
      <c r="O14" s="18">
        <v>60293000</v>
      </c>
      <c r="P14" s="41"/>
      <c r="Q14" s="18">
        <v>6118000</v>
      </c>
      <c r="R14" s="41"/>
      <c r="S14" s="41"/>
      <c r="T14" s="18">
        <v>97743000</v>
      </c>
      <c r="U14" s="18">
        <v>26360000</v>
      </c>
      <c r="V14" s="18">
        <v>242614000</v>
      </c>
      <c r="W14" s="18">
        <v>413925000</v>
      </c>
      <c r="X14" s="18">
        <v>58810000</v>
      </c>
      <c r="Y14" s="18">
        <f t="shared" si="1"/>
        <v>93633000</v>
      </c>
      <c r="Z14" s="42">
        <f t="shared" si="2"/>
        <v>0.56430577486349331</v>
      </c>
      <c r="AA14" s="6" t="str">
        <f t="shared" si="3"/>
        <v>No</v>
      </c>
      <c r="AB14" s="6" t="str">
        <f t="shared" si="4"/>
        <v>No</v>
      </c>
      <c r="AC14" s="6" t="str">
        <f t="shared" si="5"/>
        <v>No</v>
      </c>
      <c r="AD14" s="6" t="str">
        <f t="shared" si="6"/>
        <v>No</v>
      </c>
      <c r="AE14" s="6" t="str">
        <f t="shared" si="7"/>
        <v>No</v>
      </c>
      <c r="AF14" s="6" t="s">
        <v>639</v>
      </c>
      <c r="AG14" s="6" t="str">
        <f t="shared" si="8"/>
        <v>Yes</v>
      </c>
      <c r="AH14" s="6" t="str">
        <f t="shared" si="9"/>
        <v>Clean</v>
      </c>
      <c r="AI14" s="6" t="s">
        <v>602</v>
      </c>
      <c r="AJ14" s="6" t="s">
        <v>32</v>
      </c>
      <c r="AK14" s="6" t="s">
        <v>146</v>
      </c>
    </row>
    <row r="15" spans="1:37" ht="28">
      <c r="A15" s="6" t="str">
        <f t="shared" si="0"/>
        <v>BNA-2020</v>
      </c>
      <c r="B15" s="6" t="s">
        <v>142</v>
      </c>
      <c r="C15" s="6" t="s">
        <v>143</v>
      </c>
      <c r="D15" s="6" t="s">
        <v>144</v>
      </c>
      <c r="E15" s="6" t="s">
        <v>145</v>
      </c>
      <c r="F15" s="6" t="s">
        <v>31</v>
      </c>
      <c r="G15" s="11">
        <v>2020</v>
      </c>
      <c r="H15" s="9">
        <v>6858395</v>
      </c>
      <c r="I15" s="18">
        <v>139513000</v>
      </c>
      <c r="J15" s="41"/>
      <c r="K15" s="41"/>
      <c r="L15" s="18">
        <v>5288000</v>
      </c>
      <c r="M15" s="18">
        <v>3089000</v>
      </c>
      <c r="N15" s="18">
        <v>14144000</v>
      </c>
      <c r="O15" s="18">
        <v>48638000</v>
      </c>
      <c r="P15" s="41"/>
      <c r="Q15" s="18">
        <v>5099000</v>
      </c>
      <c r="R15" s="41"/>
      <c r="S15" s="41"/>
      <c r="T15" s="18">
        <v>91639000</v>
      </c>
      <c r="U15" s="18">
        <v>891000</v>
      </c>
      <c r="V15" s="18">
        <v>360691000</v>
      </c>
      <c r="W15" s="18">
        <v>1169665000</v>
      </c>
      <c r="X15" s="18">
        <v>47200000</v>
      </c>
      <c r="Y15" s="18">
        <f t="shared" si="1"/>
        <v>76258000</v>
      </c>
      <c r="Z15" s="42">
        <f t="shared" si="2"/>
        <v>0.54660139198497626</v>
      </c>
      <c r="AA15" s="6" t="str">
        <f t="shared" si="3"/>
        <v>No</v>
      </c>
      <c r="AB15" s="6" t="str">
        <f t="shared" si="4"/>
        <v>No</v>
      </c>
      <c r="AC15" s="6" t="str">
        <f t="shared" si="5"/>
        <v>No</v>
      </c>
      <c r="AD15" s="6" t="str">
        <f t="shared" si="6"/>
        <v>No</v>
      </c>
      <c r="AE15" s="6" t="str">
        <f t="shared" si="7"/>
        <v>No</v>
      </c>
      <c r="AF15" s="6" t="s">
        <v>639</v>
      </c>
      <c r="AG15" s="6" t="str">
        <f t="shared" si="8"/>
        <v>Yes</v>
      </c>
      <c r="AH15" s="6" t="str">
        <f t="shared" si="9"/>
        <v>Clean</v>
      </c>
      <c r="AI15" s="6" t="s">
        <v>602</v>
      </c>
      <c r="AJ15" s="6" t="s">
        <v>32</v>
      </c>
      <c r="AK15" s="6" t="s">
        <v>146</v>
      </c>
    </row>
    <row r="16" spans="1:37" ht="28">
      <c r="A16" s="6" t="str">
        <f t="shared" si="0"/>
        <v>BNA-2021</v>
      </c>
      <c r="B16" s="6" t="s">
        <v>142</v>
      </c>
      <c r="C16" s="6" t="s">
        <v>143</v>
      </c>
      <c r="D16" s="6" t="s">
        <v>144</v>
      </c>
      <c r="E16" s="6" t="s">
        <v>145</v>
      </c>
      <c r="F16" s="6" t="s">
        <v>31</v>
      </c>
      <c r="G16" s="11">
        <v>2021</v>
      </c>
      <c r="H16" s="9">
        <v>5151658</v>
      </c>
      <c r="I16" s="18">
        <v>124523000</v>
      </c>
      <c r="J16" s="41"/>
      <c r="K16" s="41"/>
      <c r="L16" s="18">
        <v>3983000</v>
      </c>
      <c r="M16" s="18">
        <v>3516000</v>
      </c>
      <c r="N16" s="18">
        <v>12656000</v>
      </c>
      <c r="O16" s="18">
        <v>32095000</v>
      </c>
      <c r="P16" s="41"/>
      <c r="Q16" s="18">
        <v>5031000</v>
      </c>
      <c r="R16" s="41"/>
      <c r="S16" s="41"/>
      <c r="T16" s="18">
        <v>71928000</v>
      </c>
      <c r="U16" s="18">
        <v>2566000</v>
      </c>
      <c r="V16" s="18">
        <v>249724000</v>
      </c>
      <c r="W16" s="18">
        <v>1172727000</v>
      </c>
      <c r="X16" s="18">
        <v>47827000</v>
      </c>
      <c r="Y16" s="18">
        <f t="shared" si="1"/>
        <v>57281000</v>
      </c>
      <c r="Z16" s="42">
        <f t="shared" si="2"/>
        <v>0.46000337287087528</v>
      </c>
      <c r="AA16" s="6" t="str">
        <f t="shared" si="3"/>
        <v>No</v>
      </c>
      <c r="AB16" s="6" t="str">
        <f t="shared" si="4"/>
        <v>No</v>
      </c>
      <c r="AC16" s="6" t="str">
        <f t="shared" si="5"/>
        <v>No</v>
      </c>
      <c r="AD16" s="6" t="str">
        <f t="shared" si="6"/>
        <v>No</v>
      </c>
      <c r="AE16" s="6" t="str">
        <f t="shared" si="7"/>
        <v>No</v>
      </c>
      <c r="AF16" s="6" t="s">
        <v>639</v>
      </c>
      <c r="AG16" s="6" t="str">
        <f t="shared" si="8"/>
        <v>Yes</v>
      </c>
      <c r="AH16" s="6" t="str">
        <f t="shared" si="9"/>
        <v>Clean</v>
      </c>
      <c r="AI16" s="6" t="s">
        <v>602</v>
      </c>
      <c r="AJ16" s="6" t="s">
        <v>32</v>
      </c>
      <c r="AK16" s="6" t="s">
        <v>146</v>
      </c>
    </row>
    <row r="17" spans="1:37" ht="28">
      <c r="A17" s="6" t="str">
        <f t="shared" si="0"/>
        <v>BNA-2022</v>
      </c>
      <c r="B17" s="6" t="s">
        <v>142</v>
      </c>
      <c r="C17" s="6" t="s">
        <v>143</v>
      </c>
      <c r="D17" s="6" t="s">
        <v>144</v>
      </c>
      <c r="E17" s="6" t="s">
        <v>145</v>
      </c>
      <c r="F17" s="6" t="s">
        <v>31</v>
      </c>
      <c r="G17" s="11">
        <v>2022</v>
      </c>
      <c r="H17" s="9">
        <v>9217710</v>
      </c>
      <c r="I17" s="18">
        <v>205402000</v>
      </c>
      <c r="J17" s="41"/>
      <c r="K17" s="41"/>
      <c r="L17" s="18">
        <v>7829000</v>
      </c>
      <c r="M17" s="18">
        <v>6166000</v>
      </c>
      <c r="N17" s="18">
        <v>20452000</v>
      </c>
      <c r="O17" s="18">
        <v>89074000</v>
      </c>
      <c r="P17" s="41"/>
      <c r="Q17" s="18">
        <v>7135000</v>
      </c>
      <c r="R17" s="41"/>
      <c r="S17" s="41"/>
      <c r="T17" s="18">
        <v>110178000</v>
      </c>
      <c r="U17" s="18">
        <v>19510000</v>
      </c>
      <c r="V17" s="18">
        <v>238985000</v>
      </c>
      <c r="W17" s="18">
        <v>1240159000</v>
      </c>
      <c r="X17" s="18">
        <v>56212000</v>
      </c>
      <c r="Y17" s="18">
        <f t="shared" si="1"/>
        <v>130656000</v>
      </c>
      <c r="Z17" s="42">
        <f t="shared" si="2"/>
        <v>0.63609896690392498</v>
      </c>
      <c r="AA17" s="6" t="str">
        <f t="shared" si="3"/>
        <v>No</v>
      </c>
      <c r="AB17" s="6" t="str">
        <f t="shared" si="4"/>
        <v>No</v>
      </c>
      <c r="AC17" s="6" t="str">
        <f t="shared" si="5"/>
        <v>No</v>
      </c>
      <c r="AD17" s="6" t="str">
        <f t="shared" si="6"/>
        <v>No</v>
      </c>
      <c r="AE17" s="6" t="str">
        <f t="shared" si="7"/>
        <v>No</v>
      </c>
      <c r="AF17" s="6" t="s">
        <v>639</v>
      </c>
      <c r="AG17" s="6" t="str">
        <f t="shared" si="8"/>
        <v>Yes</v>
      </c>
      <c r="AH17" s="6" t="str">
        <f t="shared" si="9"/>
        <v>Clean</v>
      </c>
      <c r="AI17" s="6" t="s">
        <v>602</v>
      </c>
      <c r="AJ17" s="6" t="s">
        <v>32</v>
      </c>
      <c r="AK17" s="6" t="s">
        <v>146</v>
      </c>
    </row>
    <row r="18" spans="1:37" ht="28">
      <c r="A18" s="6" t="str">
        <f t="shared" si="0"/>
        <v>BNA-2023</v>
      </c>
      <c r="B18" s="6" t="s">
        <v>142</v>
      </c>
      <c r="C18" s="6" t="s">
        <v>143</v>
      </c>
      <c r="D18" s="6" t="s">
        <v>144</v>
      </c>
      <c r="E18" s="6" t="s">
        <v>145</v>
      </c>
      <c r="F18" s="6" t="s">
        <v>31</v>
      </c>
      <c r="G18" s="11">
        <v>2023</v>
      </c>
      <c r="H18" s="9">
        <v>10952899</v>
      </c>
      <c r="I18" s="18">
        <v>247818000</v>
      </c>
      <c r="J18" s="41"/>
      <c r="K18" s="41"/>
      <c r="L18" s="18">
        <v>8971000</v>
      </c>
      <c r="M18" s="18">
        <v>5849000</v>
      </c>
      <c r="N18" s="18">
        <v>24496000</v>
      </c>
      <c r="O18" s="18">
        <v>114205000</v>
      </c>
      <c r="P18" s="41"/>
      <c r="Q18" s="18">
        <v>8887000</v>
      </c>
      <c r="R18" s="41"/>
      <c r="S18" s="41"/>
      <c r="T18" s="18">
        <v>122177000</v>
      </c>
      <c r="U18" s="18">
        <v>43998000</v>
      </c>
      <c r="V18" s="18">
        <v>311441000</v>
      </c>
      <c r="W18" s="18">
        <v>1744870000</v>
      </c>
      <c r="X18" s="18">
        <v>65403000</v>
      </c>
      <c r="Y18" s="18">
        <f t="shared" si="1"/>
        <v>162408000</v>
      </c>
      <c r="Z18" s="42">
        <f t="shared" si="2"/>
        <v>0.65535191148342731</v>
      </c>
      <c r="AA18" s="6" t="str">
        <f t="shared" si="3"/>
        <v>No</v>
      </c>
      <c r="AB18" s="6" t="str">
        <f t="shared" si="4"/>
        <v>No</v>
      </c>
      <c r="AC18" s="6" t="str">
        <f t="shared" si="5"/>
        <v>No</v>
      </c>
      <c r="AD18" s="6" t="str">
        <f t="shared" si="6"/>
        <v>No</v>
      </c>
      <c r="AE18" s="6" t="str">
        <f t="shared" si="7"/>
        <v>No</v>
      </c>
      <c r="AF18" s="6" t="s">
        <v>639</v>
      </c>
      <c r="AG18" s="6" t="str">
        <f t="shared" si="8"/>
        <v>Yes</v>
      </c>
      <c r="AH18" s="6" t="str">
        <f t="shared" si="9"/>
        <v>Clean</v>
      </c>
      <c r="AI18" s="6" t="s">
        <v>602</v>
      </c>
      <c r="AJ18" s="6" t="s">
        <v>32</v>
      </c>
      <c r="AK18" s="6" t="s">
        <v>146</v>
      </c>
    </row>
    <row r="19" spans="1:37" ht="28">
      <c r="A19" s="6" t="str">
        <f t="shared" si="0"/>
        <v>BNA-2024</v>
      </c>
      <c r="B19" s="6" t="s">
        <v>142</v>
      </c>
      <c r="C19" s="6" t="s">
        <v>143</v>
      </c>
      <c r="D19" s="6" t="s">
        <v>144</v>
      </c>
      <c r="E19" s="6" t="s">
        <v>145</v>
      </c>
      <c r="F19" s="6" t="s">
        <v>31</v>
      </c>
      <c r="G19" s="11">
        <v>2024</v>
      </c>
      <c r="H19" s="9">
        <v>11826204</v>
      </c>
      <c r="I19" s="18">
        <v>295958000</v>
      </c>
      <c r="J19" s="41"/>
      <c r="K19" s="41"/>
      <c r="L19" s="18">
        <v>12769000</v>
      </c>
      <c r="M19" s="18">
        <v>7747000</v>
      </c>
      <c r="N19" s="18">
        <v>25502000</v>
      </c>
      <c r="O19" s="18">
        <v>128059000</v>
      </c>
      <c r="P19" s="41"/>
      <c r="Q19" s="18">
        <v>10730000</v>
      </c>
      <c r="R19" s="41"/>
      <c r="S19" s="41"/>
      <c r="T19" s="18">
        <v>155817000</v>
      </c>
      <c r="U19" s="18">
        <v>28754000</v>
      </c>
      <c r="V19" s="18">
        <v>256728000</v>
      </c>
      <c r="W19" s="18">
        <v>1751829000</v>
      </c>
      <c r="X19" s="18">
        <v>100387000</v>
      </c>
      <c r="Y19" s="18">
        <f t="shared" si="1"/>
        <v>184807000</v>
      </c>
      <c r="Z19" s="42">
        <f t="shared" si="2"/>
        <v>0.62443657546003151</v>
      </c>
      <c r="AA19" s="6" t="str">
        <f t="shared" si="3"/>
        <v>No</v>
      </c>
      <c r="AB19" s="6" t="str">
        <f t="shared" si="4"/>
        <v>No</v>
      </c>
      <c r="AC19" s="6" t="str">
        <f t="shared" si="5"/>
        <v>No</v>
      </c>
      <c r="AD19" s="6" t="str">
        <f t="shared" si="6"/>
        <v>No</v>
      </c>
      <c r="AE19" s="6" t="str">
        <f t="shared" si="7"/>
        <v>No</v>
      </c>
      <c r="AF19" s="6" t="s">
        <v>639</v>
      </c>
      <c r="AG19" s="6" t="str">
        <f t="shared" si="8"/>
        <v>Yes</v>
      </c>
      <c r="AH19" s="6" t="str">
        <f t="shared" si="9"/>
        <v>Clean</v>
      </c>
      <c r="AI19" s="6" t="s">
        <v>602</v>
      </c>
      <c r="AJ19" s="6" t="s">
        <v>32</v>
      </c>
      <c r="AK19" s="6" t="s">
        <v>146</v>
      </c>
    </row>
    <row r="20" spans="1:37" ht="28">
      <c r="A20" s="6" t="str">
        <f t="shared" si="0"/>
        <v>BOS-2019</v>
      </c>
      <c r="B20" s="6" t="s">
        <v>101</v>
      </c>
      <c r="C20" s="6" t="s">
        <v>102</v>
      </c>
      <c r="D20" s="6" t="s">
        <v>103</v>
      </c>
      <c r="E20" s="6" t="s">
        <v>104</v>
      </c>
      <c r="F20" s="6" t="s">
        <v>31</v>
      </c>
      <c r="G20" s="11">
        <v>2019</v>
      </c>
      <c r="H20" s="9">
        <v>20832809</v>
      </c>
      <c r="I20" s="18">
        <v>738303000</v>
      </c>
      <c r="J20" s="41"/>
      <c r="K20" s="41"/>
      <c r="L20" s="18">
        <v>23580000</v>
      </c>
      <c r="M20" s="18">
        <v>19889000</v>
      </c>
      <c r="N20" s="18">
        <v>44534000</v>
      </c>
      <c r="O20" s="18">
        <v>210609000</v>
      </c>
      <c r="P20" s="41"/>
      <c r="Q20" s="18">
        <v>15091000</v>
      </c>
      <c r="R20" s="41"/>
      <c r="S20" s="41"/>
      <c r="T20" s="18">
        <v>380264000</v>
      </c>
      <c r="U20" s="18">
        <v>106371000</v>
      </c>
      <c r="V20" s="18">
        <v>637237000</v>
      </c>
      <c r="W20" s="18">
        <v>2047110000</v>
      </c>
      <c r="X20" s="18">
        <v>319648000</v>
      </c>
      <c r="Y20" s="18">
        <f t="shared" si="1"/>
        <v>313703000</v>
      </c>
      <c r="Z20" s="42">
        <f t="shared" si="2"/>
        <v>0.42489736598659356</v>
      </c>
      <c r="AA20" s="6" t="str">
        <f t="shared" si="3"/>
        <v>No</v>
      </c>
      <c r="AB20" s="6" t="str">
        <f t="shared" si="4"/>
        <v>No</v>
      </c>
      <c r="AC20" s="6" t="str">
        <f t="shared" si="5"/>
        <v>No</v>
      </c>
      <c r="AD20" s="6" t="str">
        <f t="shared" si="6"/>
        <v>No</v>
      </c>
      <c r="AE20" s="6" t="str">
        <f t="shared" si="7"/>
        <v>No</v>
      </c>
      <c r="AF20" s="6" t="s">
        <v>639</v>
      </c>
      <c r="AG20" s="6" t="str">
        <f t="shared" si="8"/>
        <v>Yes</v>
      </c>
      <c r="AH20" s="6" t="str">
        <f t="shared" si="9"/>
        <v>Clean</v>
      </c>
      <c r="AI20" s="6" t="s">
        <v>602</v>
      </c>
      <c r="AJ20" s="6" t="s">
        <v>32</v>
      </c>
      <c r="AK20" s="6" t="s">
        <v>105</v>
      </c>
    </row>
    <row r="21" spans="1:37" ht="28">
      <c r="A21" s="6" t="str">
        <f t="shared" si="0"/>
        <v>BOS-2020</v>
      </c>
      <c r="B21" s="6" t="s">
        <v>101</v>
      </c>
      <c r="C21" s="6" t="s">
        <v>102</v>
      </c>
      <c r="D21" s="6" t="s">
        <v>103</v>
      </c>
      <c r="E21" s="6" t="s">
        <v>104</v>
      </c>
      <c r="F21" s="6" t="s">
        <v>31</v>
      </c>
      <c r="G21" s="11">
        <v>2020</v>
      </c>
      <c r="H21" s="9">
        <v>15096578</v>
      </c>
      <c r="I21" s="18">
        <v>666088000</v>
      </c>
      <c r="J21" s="41"/>
      <c r="K21" s="41"/>
      <c r="L21" s="18">
        <v>17952000</v>
      </c>
      <c r="M21" s="18">
        <v>19481000</v>
      </c>
      <c r="N21" s="18">
        <v>40191000</v>
      </c>
      <c r="O21" s="18">
        <v>160319000</v>
      </c>
      <c r="P21" s="41"/>
      <c r="Q21" s="18">
        <v>10288000</v>
      </c>
      <c r="R21" s="41"/>
      <c r="S21" s="41"/>
      <c r="T21" s="18">
        <v>370581000</v>
      </c>
      <c r="U21" s="18">
        <v>34673000</v>
      </c>
      <c r="V21" s="18">
        <v>410502000</v>
      </c>
      <c r="W21" s="18">
        <v>2453490000</v>
      </c>
      <c r="X21" s="18">
        <v>315817000</v>
      </c>
      <c r="Y21" s="18">
        <f t="shared" si="1"/>
        <v>248231000</v>
      </c>
      <c r="Z21" s="42">
        <f t="shared" si="2"/>
        <v>0.37266997754050518</v>
      </c>
      <c r="AA21" s="6" t="str">
        <f t="shared" si="3"/>
        <v>No</v>
      </c>
      <c r="AB21" s="6" t="str">
        <f t="shared" si="4"/>
        <v>No</v>
      </c>
      <c r="AC21" s="6" t="str">
        <f t="shared" si="5"/>
        <v>No</v>
      </c>
      <c r="AD21" s="6" t="str">
        <f t="shared" si="6"/>
        <v>No</v>
      </c>
      <c r="AE21" s="6" t="str">
        <f t="shared" si="7"/>
        <v>No</v>
      </c>
      <c r="AF21" s="6" t="s">
        <v>639</v>
      </c>
      <c r="AG21" s="6" t="str">
        <f t="shared" si="8"/>
        <v>Yes</v>
      </c>
      <c r="AH21" s="6" t="str">
        <f t="shared" si="9"/>
        <v>Clean</v>
      </c>
      <c r="AI21" s="6" t="s">
        <v>602</v>
      </c>
      <c r="AJ21" s="6" t="s">
        <v>32</v>
      </c>
      <c r="AK21" s="6" t="s">
        <v>105</v>
      </c>
    </row>
    <row r="22" spans="1:37" ht="28">
      <c r="A22" s="6" t="str">
        <f t="shared" si="0"/>
        <v>BOS-2021</v>
      </c>
      <c r="B22" s="6" t="s">
        <v>101</v>
      </c>
      <c r="C22" s="6" t="s">
        <v>102</v>
      </c>
      <c r="D22" s="6" t="s">
        <v>103</v>
      </c>
      <c r="E22" s="6" t="s">
        <v>104</v>
      </c>
      <c r="F22" s="6" t="s">
        <v>31</v>
      </c>
      <c r="G22" s="11">
        <v>2021</v>
      </c>
      <c r="H22" s="9">
        <v>6102066</v>
      </c>
      <c r="I22" s="18">
        <v>526185000</v>
      </c>
      <c r="J22" s="41"/>
      <c r="K22" s="41"/>
      <c r="L22" s="18">
        <v>9921000</v>
      </c>
      <c r="M22" s="18">
        <v>4401000</v>
      </c>
      <c r="N22" s="18">
        <v>34954000</v>
      </c>
      <c r="O22" s="18">
        <v>64494000</v>
      </c>
      <c r="P22" s="41"/>
      <c r="Q22" s="18">
        <v>1208000</v>
      </c>
      <c r="R22" s="41"/>
      <c r="S22" s="41"/>
      <c r="T22" s="18">
        <v>321447000</v>
      </c>
      <c r="U22" s="18">
        <v>-68555000</v>
      </c>
      <c r="V22" s="18">
        <v>398625000</v>
      </c>
      <c r="W22" s="18">
        <v>2708215000</v>
      </c>
      <c r="X22" s="18">
        <v>317737000</v>
      </c>
      <c r="Y22" s="18">
        <f t="shared" si="1"/>
        <v>114978000</v>
      </c>
      <c r="Z22" s="42">
        <f t="shared" si="2"/>
        <v>0.21851250035633854</v>
      </c>
      <c r="AA22" s="6" t="str">
        <f t="shared" si="3"/>
        <v>No</v>
      </c>
      <c r="AB22" s="6" t="str">
        <f t="shared" si="4"/>
        <v>No</v>
      </c>
      <c r="AC22" s="6" t="str">
        <f t="shared" si="5"/>
        <v>No</v>
      </c>
      <c r="AD22" s="6" t="str">
        <f t="shared" si="6"/>
        <v>Yes</v>
      </c>
      <c r="AE22" s="6" t="str">
        <f t="shared" si="7"/>
        <v>No</v>
      </c>
      <c r="AF22" s="6" t="s">
        <v>639</v>
      </c>
      <c r="AG22" s="6" t="str">
        <f t="shared" si="8"/>
        <v>Yes</v>
      </c>
      <c r="AH22" s="6" t="str">
        <f t="shared" si="9"/>
        <v>Clean</v>
      </c>
      <c r="AI22" s="6" t="s">
        <v>602</v>
      </c>
      <c r="AJ22" s="6" t="s">
        <v>32</v>
      </c>
      <c r="AK22" s="6" t="s">
        <v>105</v>
      </c>
    </row>
    <row r="23" spans="1:37" ht="28">
      <c r="A23" s="6" t="str">
        <f t="shared" si="0"/>
        <v>BOS-2022</v>
      </c>
      <c r="B23" s="6" t="s">
        <v>101</v>
      </c>
      <c r="C23" s="6" t="s">
        <v>102</v>
      </c>
      <c r="D23" s="6" t="s">
        <v>103</v>
      </c>
      <c r="E23" s="6" t="s">
        <v>104</v>
      </c>
      <c r="F23" s="6" t="s">
        <v>31</v>
      </c>
      <c r="G23" s="11">
        <v>2022</v>
      </c>
      <c r="H23" s="9">
        <v>15455677</v>
      </c>
      <c r="I23" s="18">
        <v>707426000</v>
      </c>
      <c r="J23" s="41"/>
      <c r="K23" s="41"/>
      <c r="L23" s="18">
        <v>20972000</v>
      </c>
      <c r="M23" s="18">
        <v>15765000</v>
      </c>
      <c r="N23" s="18">
        <v>48062000</v>
      </c>
      <c r="O23" s="18">
        <v>177924000</v>
      </c>
      <c r="P23" s="41"/>
      <c r="Q23" s="18">
        <v>4790000</v>
      </c>
      <c r="R23" s="41"/>
      <c r="S23" s="41"/>
      <c r="T23" s="18">
        <v>343412000</v>
      </c>
      <c r="U23" s="18">
        <v>86575000</v>
      </c>
      <c r="V23" s="18">
        <v>299753000</v>
      </c>
      <c r="W23" s="18">
        <v>2564608000</v>
      </c>
      <c r="X23" s="18">
        <v>323838000</v>
      </c>
      <c r="Y23" s="18">
        <f t="shared" si="1"/>
        <v>267513000</v>
      </c>
      <c r="Z23" s="42">
        <f t="shared" si="2"/>
        <v>0.3781497994136489</v>
      </c>
      <c r="AA23" s="6" t="str">
        <f t="shared" si="3"/>
        <v>No</v>
      </c>
      <c r="AB23" s="6" t="str">
        <f t="shared" si="4"/>
        <v>No</v>
      </c>
      <c r="AC23" s="6" t="str">
        <f t="shared" si="5"/>
        <v>No</v>
      </c>
      <c r="AD23" s="6" t="str">
        <f t="shared" si="6"/>
        <v>No</v>
      </c>
      <c r="AE23" s="6" t="str">
        <f t="shared" si="7"/>
        <v>No</v>
      </c>
      <c r="AF23" s="6" t="s">
        <v>639</v>
      </c>
      <c r="AG23" s="6" t="str">
        <f t="shared" si="8"/>
        <v>Yes</v>
      </c>
      <c r="AH23" s="6" t="str">
        <f t="shared" si="9"/>
        <v>Clean</v>
      </c>
      <c r="AI23" s="6" t="s">
        <v>602</v>
      </c>
      <c r="AJ23" s="6" t="s">
        <v>32</v>
      </c>
      <c r="AK23" s="6" t="s">
        <v>105</v>
      </c>
    </row>
    <row r="24" spans="1:37" ht="28">
      <c r="A24" s="6" t="str">
        <f t="shared" si="0"/>
        <v>BOS-2023</v>
      </c>
      <c r="B24" s="6" t="s">
        <v>101</v>
      </c>
      <c r="C24" s="6" t="s">
        <v>102</v>
      </c>
      <c r="D24" s="6" t="s">
        <v>103</v>
      </c>
      <c r="E24" s="6" t="s">
        <v>104</v>
      </c>
      <c r="F24" s="6" t="s">
        <v>31</v>
      </c>
      <c r="G24" s="11">
        <v>2023</v>
      </c>
      <c r="H24" s="9">
        <v>19502404</v>
      </c>
      <c r="I24" s="18">
        <v>833782000</v>
      </c>
      <c r="J24" s="41"/>
      <c r="K24" s="41"/>
      <c r="L24" s="18">
        <v>27285000</v>
      </c>
      <c r="M24" s="18">
        <v>20467000</v>
      </c>
      <c r="N24" s="18">
        <v>54868000</v>
      </c>
      <c r="O24" s="18">
        <v>233397000</v>
      </c>
      <c r="P24" s="41"/>
      <c r="Q24" s="18">
        <v>11416000</v>
      </c>
      <c r="R24" s="41"/>
      <c r="S24" s="41"/>
      <c r="T24" s="18">
        <v>395390000</v>
      </c>
      <c r="U24" s="18">
        <v>154686000</v>
      </c>
      <c r="V24" s="18">
        <v>277778000</v>
      </c>
      <c r="W24" s="18">
        <v>2655365000</v>
      </c>
      <c r="X24" s="18">
        <v>354838000</v>
      </c>
      <c r="Y24" s="18">
        <f t="shared" si="1"/>
        <v>347433000</v>
      </c>
      <c r="Z24" s="42">
        <f t="shared" si="2"/>
        <v>0.41669525127671264</v>
      </c>
      <c r="AA24" s="6" t="str">
        <f t="shared" si="3"/>
        <v>No</v>
      </c>
      <c r="AB24" s="6" t="str">
        <f t="shared" si="4"/>
        <v>No</v>
      </c>
      <c r="AC24" s="6" t="str">
        <f t="shared" si="5"/>
        <v>No</v>
      </c>
      <c r="AD24" s="6" t="str">
        <f t="shared" si="6"/>
        <v>No</v>
      </c>
      <c r="AE24" s="6" t="str">
        <f t="shared" si="7"/>
        <v>No</v>
      </c>
      <c r="AF24" s="6" t="s">
        <v>639</v>
      </c>
      <c r="AG24" s="6" t="str">
        <f t="shared" si="8"/>
        <v>Yes</v>
      </c>
      <c r="AH24" s="6" t="str">
        <f t="shared" si="9"/>
        <v>Clean</v>
      </c>
      <c r="AI24" s="6" t="s">
        <v>602</v>
      </c>
      <c r="AJ24" s="6" t="s">
        <v>32</v>
      </c>
      <c r="AK24" s="6" t="s">
        <v>105</v>
      </c>
    </row>
    <row r="25" spans="1:37" ht="28">
      <c r="A25" s="6" t="str">
        <f t="shared" si="0"/>
        <v>BOS-2024</v>
      </c>
      <c r="B25" s="6" t="s">
        <v>101</v>
      </c>
      <c r="C25" s="6" t="s">
        <v>102</v>
      </c>
      <c r="D25" s="6" t="s">
        <v>103</v>
      </c>
      <c r="E25" s="6" t="s">
        <v>104</v>
      </c>
      <c r="F25" s="6" t="s">
        <v>31</v>
      </c>
      <c r="G25" s="11">
        <v>2024</v>
      </c>
      <c r="H25" s="9">
        <v>20785267</v>
      </c>
      <c r="I25" s="18">
        <v>983464000</v>
      </c>
      <c r="J25" s="41"/>
      <c r="K25" s="41"/>
      <c r="L25" s="18">
        <v>39303000</v>
      </c>
      <c r="M25" s="18">
        <v>20670000</v>
      </c>
      <c r="N25" s="18">
        <v>56194000</v>
      </c>
      <c r="O25" s="18">
        <v>258211000</v>
      </c>
      <c r="P25" s="41"/>
      <c r="Q25" s="18">
        <v>14793000</v>
      </c>
      <c r="R25" s="41"/>
      <c r="S25" s="41"/>
      <c r="T25" s="18">
        <v>476938000</v>
      </c>
      <c r="U25" s="18">
        <v>195538000</v>
      </c>
      <c r="V25" s="18">
        <v>285856000</v>
      </c>
      <c r="W25" s="18">
        <v>2689395000</v>
      </c>
      <c r="X25" s="18">
        <v>451416000</v>
      </c>
      <c r="Y25" s="18">
        <f t="shared" si="1"/>
        <v>389171000</v>
      </c>
      <c r="Z25" s="42">
        <f t="shared" si="2"/>
        <v>0.39571453556002051</v>
      </c>
      <c r="AA25" s="6" t="str">
        <f t="shared" si="3"/>
        <v>No</v>
      </c>
      <c r="AB25" s="6" t="str">
        <f t="shared" si="4"/>
        <v>No</v>
      </c>
      <c r="AC25" s="6" t="str">
        <f t="shared" si="5"/>
        <v>No</v>
      </c>
      <c r="AD25" s="6" t="str">
        <f t="shared" si="6"/>
        <v>No</v>
      </c>
      <c r="AE25" s="6" t="str">
        <f t="shared" si="7"/>
        <v>No</v>
      </c>
      <c r="AF25" s="6" t="s">
        <v>639</v>
      </c>
      <c r="AG25" s="6" t="str">
        <f t="shared" si="8"/>
        <v>Yes</v>
      </c>
      <c r="AH25" s="6" t="str">
        <f t="shared" si="9"/>
        <v>Clean</v>
      </c>
      <c r="AI25" s="6" t="s">
        <v>602</v>
      </c>
      <c r="AJ25" s="6" t="s">
        <v>32</v>
      </c>
      <c r="AK25" s="6" t="s">
        <v>105</v>
      </c>
    </row>
    <row r="26" spans="1:37" ht="28">
      <c r="A26" s="6" t="str">
        <f t="shared" si="0"/>
        <v>BWI-2019</v>
      </c>
      <c r="B26" s="6" t="s">
        <v>125</v>
      </c>
      <c r="C26" s="6" t="s">
        <v>126</v>
      </c>
      <c r="D26" s="6" t="s">
        <v>127</v>
      </c>
      <c r="E26" s="6" t="s">
        <v>128</v>
      </c>
      <c r="F26" s="6" t="s">
        <v>31</v>
      </c>
      <c r="G26" s="11">
        <v>2019</v>
      </c>
      <c r="H26" s="9">
        <v>13415606</v>
      </c>
      <c r="I26" s="18">
        <v>247642000</v>
      </c>
      <c r="J26" s="41"/>
      <c r="K26" s="41"/>
      <c r="L26" s="18">
        <v>12060000</v>
      </c>
      <c r="M26" s="18">
        <v>6680000</v>
      </c>
      <c r="N26" s="18">
        <v>19653000</v>
      </c>
      <c r="O26" s="18">
        <v>54270000</v>
      </c>
      <c r="P26" s="41"/>
      <c r="Q26" s="18">
        <v>2858000</v>
      </c>
      <c r="R26" s="41"/>
      <c r="S26" s="41"/>
      <c r="T26" s="18">
        <v>185182000</v>
      </c>
      <c r="U26" s="18">
        <v>-37013000</v>
      </c>
      <c r="V26" s="18">
        <v>91964000</v>
      </c>
      <c r="W26" s="18">
        <v>641877000</v>
      </c>
      <c r="X26" s="18">
        <v>125146000</v>
      </c>
      <c r="Y26" s="18">
        <f t="shared" si="1"/>
        <v>95521000</v>
      </c>
      <c r="Z26" s="42">
        <f t="shared" si="2"/>
        <v>0.38572213114092119</v>
      </c>
      <c r="AA26" s="6" t="str">
        <f t="shared" si="3"/>
        <v>No</v>
      </c>
      <c r="AB26" s="6" t="str">
        <f t="shared" si="4"/>
        <v>No</v>
      </c>
      <c r="AC26" s="6" t="str">
        <f t="shared" si="5"/>
        <v>No</v>
      </c>
      <c r="AD26" s="6" t="str">
        <f t="shared" si="6"/>
        <v>Yes</v>
      </c>
      <c r="AE26" s="6" t="str">
        <f t="shared" si="7"/>
        <v>No</v>
      </c>
      <c r="AF26" s="6" t="s">
        <v>639</v>
      </c>
      <c r="AG26" s="6" t="str">
        <f t="shared" si="8"/>
        <v>Yes</v>
      </c>
      <c r="AH26" s="6" t="str">
        <f t="shared" si="9"/>
        <v>Clean</v>
      </c>
      <c r="AI26" s="6" t="s">
        <v>602</v>
      </c>
      <c r="AJ26" s="6" t="s">
        <v>32</v>
      </c>
      <c r="AK26" s="6" t="s">
        <v>129</v>
      </c>
    </row>
    <row r="27" spans="1:37" ht="28">
      <c r="A27" s="6" t="str">
        <f t="shared" si="0"/>
        <v>BWI-2020</v>
      </c>
      <c r="B27" s="6" t="s">
        <v>125</v>
      </c>
      <c r="C27" s="6" t="s">
        <v>126</v>
      </c>
      <c r="D27" s="6" t="s">
        <v>127</v>
      </c>
      <c r="E27" s="6" t="s">
        <v>128</v>
      </c>
      <c r="F27" s="6" t="s">
        <v>31</v>
      </c>
      <c r="G27" s="11">
        <v>2020</v>
      </c>
      <c r="H27" s="9">
        <v>10034304</v>
      </c>
      <c r="I27" s="18">
        <v>223246000</v>
      </c>
      <c r="J27" s="41"/>
      <c r="K27" s="41"/>
      <c r="L27" s="18">
        <v>9629000</v>
      </c>
      <c r="M27" s="18">
        <v>5356000</v>
      </c>
      <c r="N27" s="18">
        <v>15978000</v>
      </c>
      <c r="O27" s="18">
        <v>34817000</v>
      </c>
      <c r="P27" s="41"/>
      <c r="Q27" s="18">
        <v>1964000</v>
      </c>
      <c r="R27" s="41"/>
      <c r="S27" s="41"/>
      <c r="T27" s="18">
        <v>115055000</v>
      </c>
      <c r="U27" s="18">
        <v>25736000</v>
      </c>
      <c r="V27" s="18">
        <v>154583000</v>
      </c>
      <c r="W27" s="18">
        <v>600605000</v>
      </c>
      <c r="X27" s="18">
        <v>125967000</v>
      </c>
      <c r="Y27" s="18">
        <f t="shared" si="1"/>
        <v>67744000</v>
      </c>
      <c r="Z27" s="42">
        <f t="shared" si="2"/>
        <v>0.30345000582317266</v>
      </c>
      <c r="AA27" s="6" t="str">
        <f t="shared" si="3"/>
        <v>No</v>
      </c>
      <c r="AB27" s="6" t="str">
        <f t="shared" si="4"/>
        <v>No</v>
      </c>
      <c r="AC27" s="6" t="str">
        <f t="shared" si="5"/>
        <v>No</v>
      </c>
      <c r="AD27" s="6" t="str">
        <f t="shared" si="6"/>
        <v>No</v>
      </c>
      <c r="AE27" s="6" t="str">
        <f t="shared" si="7"/>
        <v>No</v>
      </c>
      <c r="AF27" s="6" t="s">
        <v>639</v>
      </c>
      <c r="AG27" s="6" t="str">
        <f t="shared" si="8"/>
        <v>Yes</v>
      </c>
      <c r="AH27" s="6" t="str">
        <f t="shared" si="9"/>
        <v>Clean</v>
      </c>
      <c r="AI27" s="6" t="s">
        <v>602</v>
      </c>
      <c r="AJ27" s="6" t="s">
        <v>32</v>
      </c>
      <c r="AK27" s="6" t="s">
        <v>129</v>
      </c>
    </row>
    <row r="28" spans="1:37" ht="28">
      <c r="A28" s="6" t="str">
        <f t="shared" si="0"/>
        <v>BWI-2021</v>
      </c>
      <c r="B28" s="6" t="s">
        <v>125</v>
      </c>
      <c r="C28" s="6" t="s">
        <v>126</v>
      </c>
      <c r="D28" s="6" t="s">
        <v>127</v>
      </c>
      <c r="E28" s="6" t="s">
        <v>128</v>
      </c>
      <c r="F28" s="6" t="s">
        <v>31</v>
      </c>
      <c r="G28" s="11">
        <v>2021</v>
      </c>
      <c r="H28" s="9">
        <v>6645250</v>
      </c>
      <c r="I28" s="18">
        <v>176877000</v>
      </c>
      <c r="J28" s="41"/>
      <c r="K28" s="41"/>
      <c r="L28" s="18">
        <v>5031000</v>
      </c>
      <c r="M28" s="18">
        <v>2425000</v>
      </c>
      <c r="N28" s="18">
        <v>11958000</v>
      </c>
      <c r="O28" s="18">
        <v>20052000</v>
      </c>
      <c r="P28" s="41"/>
      <c r="Q28" s="18">
        <v>2066000</v>
      </c>
      <c r="R28" s="41"/>
      <c r="S28" s="41"/>
      <c r="T28" s="18">
        <v>188939000</v>
      </c>
      <c r="U28" s="18">
        <v>-89815000</v>
      </c>
      <c r="V28" s="18">
        <v>43582000</v>
      </c>
      <c r="W28" s="18">
        <v>701554000</v>
      </c>
      <c r="X28" s="18">
        <v>109170000</v>
      </c>
      <c r="Y28" s="18">
        <f t="shared" si="1"/>
        <v>41532000</v>
      </c>
      <c r="Z28" s="42">
        <f t="shared" si="2"/>
        <v>0.23480723892874711</v>
      </c>
      <c r="AA28" s="6" t="str">
        <f t="shared" si="3"/>
        <v>No</v>
      </c>
      <c r="AB28" s="6" t="str">
        <f t="shared" si="4"/>
        <v>No</v>
      </c>
      <c r="AC28" s="6" t="str">
        <f t="shared" si="5"/>
        <v>No</v>
      </c>
      <c r="AD28" s="6" t="str">
        <f t="shared" si="6"/>
        <v>Yes</v>
      </c>
      <c r="AE28" s="6" t="str">
        <f t="shared" si="7"/>
        <v>No</v>
      </c>
      <c r="AF28" s="6" t="s">
        <v>639</v>
      </c>
      <c r="AG28" s="6" t="str">
        <f t="shared" si="8"/>
        <v>Yes</v>
      </c>
      <c r="AH28" s="6" t="str">
        <f t="shared" si="9"/>
        <v>Clean</v>
      </c>
      <c r="AI28" s="6" t="s">
        <v>602</v>
      </c>
      <c r="AJ28" s="6" t="s">
        <v>32</v>
      </c>
      <c r="AK28" s="6" t="s">
        <v>129</v>
      </c>
    </row>
    <row r="29" spans="1:37" ht="28">
      <c r="A29" s="6" t="str">
        <f t="shared" si="0"/>
        <v>BWI-2022</v>
      </c>
      <c r="B29" s="6" t="s">
        <v>125</v>
      </c>
      <c r="C29" s="6" t="s">
        <v>126</v>
      </c>
      <c r="D29" s="6" t="s">
        <v>127</v>
      </c>
      <c r="E29" s="6" t="s">
        <v>128</v>
      </c>
      <c r="F29" s="6" t="s">
        <v>31</v>
      </c>
      <c r="G29" s="11">
        <v>2022</v>
      </c>
      <c r="H29" s="9">
        <v>10694176</v>
      </c>
      <c r="I29" s="18">
        <v>349744000</v>
      </c>
      <c r="J29" s="41"/>
      <c r="K29" s="41"/>
      <c r="L29" s="18">
        <v>12028000</v>
      </c>
      <c r="M29" s="18">
        <v>5155000</v>
      </c>
      <c r="N29" s="18">
        <v>18538000</v>
      </c>
      <c r="O29" s="18">
        <v>70895000</v>
      </c>
      <c r="P29" s="41"/>
      <c r="Q29" s="18">
        <v>3635000</v>
      </c>
      <c r="R29" s="41"/>
      <c r="S29" s="41"/>
      <c r="T29" s="18">
        <v>200924000</v>
      </c>
      <c r="U29" s="18">
        <v>73798000</v>
      </c>
      <c r="V29" s="18">
        <v>40992000</v>
      </c>
      <c r="W29" s="18">
        <v>767413000</v>
      </c>
      <c r="X29" s="18">
        <v>127781000</v>
      </c>
      <c r="Y29" s="18">
        <f t="shared" si="1"/>
        <v>110251000</v>
      </c>
      <c r="Z29" s="42">
        <f t="shared" si="2"/>
        <v>0.31523342787867698</v>
      </c>
      <c r="AA29" s="6" t="str">
        <f t="shared" si="3"/>
        <v>No</v>
      </c>
      <c r="AB29" s="6" t="str">
        <f t="shared" si="4"/>
        <v>No</v>
      </c>
      <c r="AC29" s="6" t="str">
        <f t="shared" si="5"/>
        <v>No</v>
      </c>
      <c r="AD29" s="6" t="str">
        <f t="shared" si="6"/>
        <v>No</v>
      </c>
      <c r="AE29" s="6" t="str">
        <f t="shared" si="7"/>
        <v>No</v>
      </c>
      <c r="AF29" s="6" t="s">
        <v>639</v>
      </c>
      <c r="AG29" s="6" t="str">
        <f t="shared" si="8"/>
        <v>Yes</v>
      </c>
      <c r="AH29" s="6" t="str">
        <f t="shared" si="9"/>
        <v>Clean</v>
      </c>
      <c r="AI29" s="6" t="s">
        <v>602</v>
      </c>
      <c r="AJ29" s="6" t="s">
        <v>32</v>
      </c>
      <c r="AK29" s="6" t="s">
        <v>129</v>
      </c>
    </row>
    <row r="30" spans="1:37" ht="28">
      <c r="A30" s="6" t="str">
        <f t="shared" si="0"/>
        <v>BWI-2023</v>
      </c>
      <c r="B30" s="6" t="s">
        <v>125</v>
      </c>
      <c r="C30" s="6" t="s">
        <v>126</v>
      </c>
      <c r="D30" s="6" t="s">
        <v>127</v>
      </c>
      <c r="E30" s="6" t="s">
        <v>128</v>
      </c>
      <c r="F30" s="6" t="s">
        <v>31</v>
      </c>
      <c r="G30" s="11">
        <v>2023</v>
      </c>
      <c r="H30" s="9">
        <v>12365276</v>
      </c>
      <c r="I30" s="18">
        <v>299229000</v>
      </c>
      <c r="J30" s="41"/>
      <c r="K30" s="41"/>
      <c r="L30" s="18">
        <v>12560000</v>
      </c>
      <c r="M30" s="18">
        <v>5664000</v>
      </c>
      <c r="N30" s="18">
        <v>20053000</v>
      </c>
      <c r="O30" s="18">
        <v>84849000</v>
      </c>
      <c r="P30" s="41"/>
      <c r="Q30" s="18">
        <v>4930000</v>
      </c>
      <c r="R30" s="41"/>
      <c r="S30" s="41"/>
      <c r="T30" s="18">
        <v>212274000</v>
      </c>
      <c r="U30" s="18">
        <v>6696000</v>
      </c>
      <c r="V30" s="18">
        <v>60381000</v>
      </c>
      <c r="W30" s="18">
        <v>741810000</v>
      </c>
      <c r="X30" s="18">
        <v>132377000</v>
      </c>
      <c r="Y30" s="18">
        <f t="shared" si="1"/>
        <v>128056000</v>
      </c>
      <c r="Z30" s="42">
        <f t="shared" si="2"/>
        <v>0.42795317298791224</v>
      </c>
      <c r="AA30" s="6" t="str">
        <f t="shared" si="3"/>
        <v>No</v>
      </c>
      <c r="AB30" s="6" t="str">
        <f t="shared" si="4"/>
        <v>No</v>
      </c>
      <c r="AC30" s="6" t="str">
        <f t="shared" si="5"/>
        <v>No</v>
      </c>
      <c r="AD30" s="6" t="str">
        <f t="shared" si="6"/>
        <v>No</v>
      </c>
      <c r="AE30" s="6" t="str">
        <f t="shared" si="7"/>
        <v>No</v>
      </c>
      <c r="AF30" s="6" t="s">
        <v>639</v>
      </c>
      <c r="AG30" s="6" t="str">
        <f t="shared" si="8"/>
        <v>Yes</v>
      </c>
      <c r="AH30" s="6" t="str">
        <f t="shared" si="9"/>
        <v>Clean</v>
      </c>
      <c r="AI30" s="6" t="s">
        <v>602</v>
      </c>
      <c r="AJ30" s="6" t="s">
        <v>32</v>
      </c>
      <c r="AK30" s="6" t="s">
        <v>129</v>
      </c>
    </row>
    <row r="31" spans="1:37" ht="28">
      <c r="A31" s="6" t="str">
        <f t="shared" si="0"/>
        <v>BWI-2024</v>
      </c>
      <c r="B31" s="6" t="s">
        <v>125</v>
      </c>
      <c r="C31" s="6" t="s">
        <v>126</v>
      </c>
      <c r="D31" s="6" t="s">
        <v>127</v>
      </c>
      <c r="E31" s="6" t="s">
        <v>128</v>
      </c>
      <c r="F31" s="6" t="s">
        <v>31</v>
      </c>
      <c r="G31" s="11">
        <v>2024</v>
      </c>
      <c r="H31" s="9">
        <v>13496059</v>
      </c>
      <c r="I31" s="18">
        <v>310245000</v>
      </c>
      <c r="J31" s="41"/>
      <c r="K31" s="41"/>
      <c r="L31" s="18">
        <v>14956000</v>
      </c>
      <c r="M31" s="18">
        <v>6123000</v>
      </c>
      <c r="N31" s="18">
        <v>19117000</v>
      </c>
      <c r="O31" s="18">
        <v>89731000</v>
      </c>
      <c r="P31" s="41"/>
      <c r="Q31" s="18">
        <v>6205000</v>
      </c>
      <c r="R31" s="41"/>
      <c r="S31" s="41"/>
      <c r="T31" s="18">
        <v>229160000</v>
      </c>
      <c r="U31" s="18">
        <v>1427000</v>
      </c>
      <c r="V31" s="18">
        <v>272789000</v>
      </c>
      <c r="W31" s="18">
        <v>644980000</v>
      </c>
      <c r="X31" s="18">
        <v>142635000</v>
      </c>
      <c r="Y31" s="18">
        <f t="shared" si="1"/>
        <v>136132000</v>
      </c>
      <c r="Z31" s="42">
        <f t="shared" si="2"/>
        <v>0.43878869925381553</v>
      </c>
      <c r="AA31" s="6" t="str">
        <f t="shared" si="3"/>
        <v>No</v>
      </c>
      <c r="AB31" s="6" t="str">
        <f t="shared" si="4"/>
        <v>No</v>
      </c>
      <c r="AC31" s="6" t="str">
        <f t="shared" si="5"/>
        <v>No</v>
      </c>
      <c r="AD31" s="6" t="str">
        <f t="shared" si="6"/>
        <v>No</v>
      </c>
      <c r="AE31" s="6" t="str">
        <f t="shared" si="7"/>
        <v>No</v>
      </c>
      <c r="AF31" s="6" t="s">
        <v>639</v>
      </c>
      <c r="AG31" s="6" t="str">
        <f t="shared" si="8"/>
        <v>Yes</v>
      </c>
      <c r="AH31" s="6" t="str">
        <f t="shared" si="9"/>
        <v>Clean</v>
      </c>
      <c r="AI31" s="6" t="s">
        <v>602</v>
      </c>
      <c r="AJ31" s="6" t="s">
        <v>32</v>
      </c>
      <c r="AK31" s="6" t="s">
        <v>129</v>
      </c>
    </row>
    <row r="32" spans="1:37" ht="28">
      <c r="A32" s="6" t="str">
        <f t="shared" si="0"/>
        <v>CLT-2019</v>
      </c>
      <c r="B32" s="6" t="s">
        <v>151</v>
      </c>
      <c r="C32" s="6" t="s">
        <v>152</v>
      </c>
      <c r="D32" s="6" t="s">
        <v>153</v>
      </c>
      <c r="E32" s="6" t="s">
        <v>154</v>
      </c>
      <c r="F32" s="6" t="s">
        <v>31</v>
      </c>
      <c r="G32" s="11">
        <v>2019</v>
      </c>
      <c r="H32" s="9">
        <v>23959410</v>
      </c>
      <c r="I32" s="18">
        <v>267318000</v>
      </c>
      <c r="J32" s="41"/>
      <c r="K32" s="41"/>
      <c r="L32" s="18">
        <v>35070000</v>
      </c>
      <c r="M32" s="18">
        <v>15477000</v>
      </c>
      <c r="N32" s="18">
        <v>16817000</v>
      </c>
      <c r="O32" s="18">
        <v>65737000</v>
      </c>
      <c r="P32" s="41"/>
      <c r="Q32" s="18">
        <v>7956000</v>
      </c>
      <c r="R32" s="41"/>
      <c r="S32" s="41"/>
      <c r="T32" s="18">
        <v>163626000</v>
      </c>
      <c r="U32" s="18">
        <v>40588000</v>
      </c>
      <c r="V32" s="18">
        <v>235952000</v>
      </c>
      <c r="W32" s="18">
        <v>981879000</v>
      </c>
      <c r="X32" s="18">
        <v>96135000</v>
      </c>
      <c r="Y32" s="18">
        <f t="shared" si="1"/>
        <v>141057000</v>
      </c>
      <c r="Z32" s="42">
        <f t="shared" si="2"/>
        <v>0.52767490404686557</v>
      </c>
      <c r="AA32" s="6" t="str">
        <f t="shared" si="3"/>
        <v>No</v>
      </c>
      <c r="AB32" s="6" t="str">
        <f t="shared" si="4"/>
        <v>No</v>
      </c>
      <c r="AC32" s="6" t="str">
        <f t="shared" si="5"/>
        <v>No</v>
      </c>
      <c r="AD32" s="6" t="str">
        <f t="shared" si="6"/>
        <v>No</v>
      </c>
      <c r="AE32" s="6" t="str">
        <f t="shared" si="7"/>
        <v>No</v>
      </c>
      <c r="AF32" s="6" t="s">
        <v>639</v>
      </c>
      <c r="AG32" s="6" t="str">
        <f t="shared" si="8"/>
        <v>Yes</v>
      </c>
      <c r="AH32" s="6" t="str">
        <f t="shared" si="9"/>
        <v>Clean</v>
      </c>
      <c r="AI32" s="6" t="s">
        <v>602</v>
      </c>
      <c r="AJ32" s="6" t="s">
        <v>32</v>
      </c>
      <c r="AK32" s="6" t="s">
        <v>155</v>
      </c>
    </row>
    <row r="33" spans="1:37" ht="28">
      <c r="A33" s="6" t="str">
        <f t="shared" si="0"/>
        <v>CLT-2020</v>
      </c>
      <c r="B33" s="6" t="s">
        <v>151</v>
      </c>
      <c r="C33" s="6" t="s">
        <v>152</v>
      </c>
      <c r="D33" s="6" t="s">
        <v>153</v>
      </c>
      <c r="E33" s="6" t="s">
        <v>154</v>
      </c>
      <c r="F33" s="6" t="s">
        <v>31</v>
      </c>
      <c r="G33" s="11">
        <v>2020</v>
      </c>
      <c r="H33" s="9">
        <v>19408634</v>
      </c>
      <c r="I33" s="18">
        <v>228008000</v>
      </c>
      <c r="J33" s="41"/>
      <c r="K33" s="41"/>
      <c r="L33" s="18">
        <v>25349000</v>
      </c>
      <c r="M33" s="18">
        <v>11541000</v>
      </c>
      <c r="N33" s="18">
        <v>13220000</v>
      </c>
      <c r="O33" s="18">
        <v>52496000</v>
      </c>
      <c r="P33" s="41"/>
      <c r="Q33" s="18">
        <v>6118000</v>
      </c>
      <c r="R33" s="41"/>
      <c r="S33" s="41"/>
      <c r="T33" s="18">
        <v>174158000</v>
      </c>
      <c r="U33" s="18">
        <v>-20267000</v>
      </c>
      <c r="V33" s="18">
        <v>249012000</v>
      </c>
      <c r="W33" s="18">
        <v>931025000</v>
      </c>
      <c r="X33" s="18">
        <v>89219000</v>
      </c>
      <c r="Y33" s="18">
        <f t="shared" si="1"/>
        <v>108724000</v>
      </c>
      <c r="Z33" s="42">
        <f t="shared" si="2"/>
        <v>0.47684291779235816</v>
      </c>
      <c r="AA33" s="6" t="str">
        <f t="shared" si="3"/>
        <v>No</v>
      </c>
      <c r="AB33" s="6" t="str">
        <f t="shared" si="4"/>
        <v>No</v>
      </c>
      <c r="AC33" s="6" t="str">
        <f t="shared" si="5"/>
        <v>No</v>
      </c>
      <c r="AD33" s="6" t="str">
        <f t="shared" si="6"/>
        <v>Yes</v>
      </c>
      <c r="AE33" s="6" t="str">
        <f t="shared" si="7"/>
        <v>No</v>
      </c>
      <c r="AF33" s="6" t="s">
        <v>639</v>
      </c>
      <c r="AG33" s="6" t="str">
        <f t="shared" si="8"/>
        <v>Yes</v>
      </c>
      <c r="AH33" s="6" t="str">
        <f t="shared" si="9"/>
        <v>Clean</v>
      </c>
      <c r="AI33" s="6" t="s">
        <v>602</v>
      </c>
      <c r="AJ33" s="6" t="s">
        <v>32</v>
      </c>
      <c r="AK33" s="6" t="s">
        <v>155</v>
      </c>
    </row>
    <row r="34" spans="1:37" ht="28">
      <c r="A34" s="6" t="str">
        <f t="shared" ref="A34:A65" si="10">B34&amp;"-"&amp;G34</f>
        <v>CLT-2021</v>
      </c>
      <c r="B34" s="6" t="s">
        <v>151</v>
      </c>
      <c r="C34" s="6" t="s">
        <v>152</v>
      </c>
      <c r="D34" s="6" t="s">
        <v>153</v>
      </c>
      <c r="E34" s="6" t="s">
        <v>154</v>
      </c>
      <c r="F34" s="6" t="s">
        <v>31</v>
      </c>
      <c r="G34" s="11">
        <v>2021</v>
      </c>
      <c r="H34" s="9">
        <v>16644925</v>
      </c>
      <c r="I34" s="18">
        <v>171384000</v>
      </c>
      <c r="J34" s="41"/>
      <c r="K34" s="41"/>
      <c r="L34" s="18">
        <v>23188000</v>
      </c>
      <c r="M34" s="18">
        <v>9616000</v>
      </c>
      <c r="N34" s="18">
        <v>9319000</v>
      </c>
      <c r="O34" s="18">
        <v>29250000</v>
      </c>
      <c r="P34" s="41"/>
      <c r="Q34" s="18">
        <v>7690000</v>
      </c>
      <c r="R34" s="41"/>
      <c r="S34" s="41"/>
      <c r="T34" s="18">
        <v>154864000</v>
      </c>
      <c r="U34" s="18">
        <v>-67410000</v>
      </c>
      <c r="V34" s="18">
        <v>243855000</v>
      </c>
      <c r="W34" s="18">
        <v>1069626000</v>
      </c>
      <c r="X34" s="18">
        <v>64744000</v>
      </c>
      <c r="Y34" s="18">
        <f t="shared" ref="Y34:Y65" si="11">SUM(L34:S34)</f>
        <v>79063000</v>
      </c>
      <c r="Z34" s="42">
        <f t="shared" ref="Z34:Z65" si="12">IFERROR(Y34/I34,0)</f>
        <v>0.46132077673528449</v>
      </c>
      <c r="AA34" s="6" t="str">
        <f t="shared" ref="AA34:AA65" si="13">IF(OR(H34="",I34="",T34="",U34=""),"Yes","No")</f>
        <v>No</v>
      </c>
      <c r="AB34" s="6" t="str">
        <f t="shared" ref="AB34:AB65" si="14">IF(OR(AND(L34&lt;&gt;"",L34=0),AND(M34&lt;&gt;"",M34=0),AND(N34&lt;&gt;"",N34=0),AND(O34&lt;&gt;"",O34=0),AND(Q34&lt;&gt;"",Q34=0)),"Yes","No")</f>
        <v>No</v>
      </c>
      <c r="AC34" s="6" t="str">
        <f t="shared" ref="AC34:AC65" si="15">IF(MIN(L34:O34,Q34)&lt;0,"Yes","No")</f>
        <v>No</v>
      </c>
      <c r="AD34" s="6" t="str">
        <f t="shared" ref="AD34:AD65" si="16">IF(U34&lt;0,"Yes","No")</f>
        <v>Yes</v>
      </c>
      <c r="AE34" s="6" t="str">
        <f t="shared" ref="AE34:AE65" si="17">IF(COUNTIFS($B$2:$B$187,B34,$G$2:$G$187,G34)&gt;1,"Yes","No")</f>
        <v>No</v>
      </c>
      <c r="AF34" s="6" t="s">
        <v>639</v>
      </c>
      <c r="AG34" s="6" t="str">
        <f t="shared" ref="AG34:AG65" si="18">IF(OR(J34="",K34="",P34="",R34="",S34=""),"Yes","No")</f>
        <v>Yes</v>
      </c>
      <c r="AH34" s="6" t="str">
        <f t="shared" ref="AH34:AH65" si="19">IF(OR(AA34="Yes",AE34="Yes"),"Review - Core/Duplicate",IF(OR(AB34="Yes",AC34="Yes"),"Clean - Flagged","Clean"))</f>
        <v>Clean</v>
      </c>
      <c r="AI34" s="6" t="s">
        <v>602</v>
      </c>
      <c r="AJ34" s="6" t="s">
        <v>32</v>
      </c>
      <c r="AK34" s="6" t="s">
        <v>155</v>
      </c>
    </row>
    <row r="35" spans="1:37" ht="28">
      <c r="A35" s="6" t="str">
        <f t="shared" si="10"/>
        <v>CLT-2022</v>
      </c>
      <c r="B35" s="6" t="s">
        <v>151</v>
      </c>
      <c r="C35" s="6" t="s">
        <v>152</v>
      </c>
      <c r="D35" s="6" t="s">
        <v>153</v>
      </c>
      <c r="E35" s="6" t="s">
        <v>154</v>
      </c>
      <c r="F35" s="6" t="s">
        <v>31</v>
      </c>
      <c r="G35" s="11">
        <v>2022</v>
      </c>
      <c r="H35" s="9">
        <v>23033542</v>
      </c>
      <c r="I35" s="18">
        <v>318984000</v>
      </c>
      <c r="J35" s="41"/>
      <c r="K35" s="41"/>
      <c r="L35" s="18">
        <v>36632000</v>
      </c>
      <c r="M35" s="18">
        <v>16509000</v>
      </c>
      <c r="N35" s="18">
        <v>17868000</v>
      </c>
      <c r="O35" s="18">
        <v>81445000</v>
      </c>
      <c r="P35" s="41"/>
      <c r="Q35" s="18">
        <v>7245000</v>
      </c>
      <c r="R35" s="41"/>
      <c r="S35" s="41"/>
      <c r="T35" s="18">
        <v>193030000</v>
      </c>
      <c r="U35" s="18">
        <v>39133000</v>
      </c>
      <c r="V35" s="18">
        <v>279056000</v>
      </c>
      <c r="W35" s="18">
        <v>1303803000</v>
      </c>
      <c r="X35" s="18">
        <v>95101000</v>
      </c>
      <c r="Y35" s="18">
        <f t="shared" si="11"/>
        <v>159699000</v>
      </c>
      <c r="Z35" s="42">
        <f t="shared" si="12"/>
        <v>0.50064893536979915</v>
      </c>
      <c r="AA35" s="6" t="str">
        <f t="shared" si="13"/>
        <v>No</v>
      </c>
      <c r="AB35" s="6" t="str">
        <f t="shared" si="14"/>
        <v>No</v>
      </c>
      <c r="AC35" s="6" t="str">
        <f t="shared" si="15"/>
        <v>No</v>
      </c>
      <c r="AD35" s="6" t="str">
        <f t="shared" si="16"/>
        <v>No</v>
      </c>
      <c r="AE35" s="6" t="str">
        <f t="shared" si="17"/>
        <v>No</v>
      </c>
      <c r="AF35" s="6" t="s">
        <v>639</v>
      </c>
      <c r="AG35" s="6" t="str">
        <f t="shared" si="18"/>
        <v>Yes</v>
      </c>
      <c r="AH35" s="6" t="str">
        <f t="shared" si="19"/>
        <v>Clean</v>
      </c>
      <c r="AI35" s="6" t="s">
        <v>602</v>
      </c>
      <c r="AJ35" s="6" t="s">
        <v>32</v>
      </c>
      <c r="AK35" s="6" t="s">
        <v>155</v>
      </c>
    </row>
    <row r="36" spans="1:37" ht="28">
      <c r="A36" s="6" t="str">
        <f t="shared" si="10"/>
        <v>CLT-2023</v>
      </c>
      <c r="B36" s="6" t="s">
        <v>151</v>
      </c>
      <c r="C36" s="6" t="s">
        <v>152</v>
      </c>
      <c r="D36" s="6" t="s">
        <v>153</v>
      </c>
      <c r="E36" s="6" t="s">
        <v>154</v>
      </c>
      <c r="F36" s="6" t="s">
        <v>31</v>
      </c>
      <c r="G36" s="11">
        <v>2023</v>
      </c>
      <c r="H36" s="9">
        <v>25443000</v>
      </c>
      <c r="I36" s="18">
        <v>353506000</v>
      </c>
      <c r="J36" s="41"/>
      <c r="K36" s="41"/>
      <c r="L36" s="18">
        <v>43824000</v>
      </c>
      <c r="M36" s="18">
        <v>18268000</v>
      </c>
      <c r="N36" s="18">
        <v>20327000</v>
      </c>
      <c r="O36" s="18">
        <v>94711000</v>
      </c>
      <c r="P36" s="41"/>
      <c r="Q36" s="18">
        <v>8198000</v>
      </c>
      <c r="R36" s="41"/>
      <c r="S36" s="41"/>
      <c r="T36" s="18">
        <v>219739000</v>
      </c>
      <c r="U36" s="18">
        <v>40625000</v>
      </c>
      <c r="V36" s="18">
        <v>467171000</v>
      </c>
      <c r="W36" s="18">
        <v>1391014000</v>
      </c>
      <c r="X36" s="18">
        <v>107404000</v>
      </c>
      <c r="Y36" s="18">
        <f t="shared" si="11"/>
        <v>185328000</v>
      </c>
      <c r="Z36" s="42">
        <f t="shared" si="12"/>
        <v>0.52425701402522162</v>
      </c>
      <c r="AA36" s="6" t="str">
        <f t="shared" si="13"/>
        <v>No</v>
      </c>
      <c r="AB36" s="6" t="str">
        <f t="shared" si="14"/>
        <v>No</v>
      </c>
      <c r="AC36" s="6" t="str">
        <f t="shared" si="15"/>
        <v>No</v>
      </c>
      <c r="AD36" s="6" t="str">
        <f t="shared" si="16"/>
        <v>No</v>
      </c>
      <c r="AE36" s="6" t="str">
        <f t="shared" si="17"/>
        <v>No</v>
      </c>
      <c r="AF36" s="6" t="s">
        <v>639</v>
      </c>
      <c r="AG36" s="6" t="str">
        <f t="shared" si="18"/>
        <v>Yes</v>
      </c>
      <c r="AH36" s="6" t="str">
        <f t="shared" si="19"/>
        <v>Clean</v>
      </c>
      <c r="AI36" s="6" t="s">
        <v>602</v>
      </c>
      <c r="AJ36" s="6" t="s">
        <v>32</v>
      </c>
      <c r="AK36" s="6" t="s">
        <v>155</v>
      </c>
    </row>
    <row r="37" spans="1:37" ht="28">
      <c r="A37" s="6" t="str">
        <f t="shared" si="10"/>
        <v>CLT-2024</v>
      </c>
      <c r="B37" s="6" t="s">
        <v>151</v>
      </c>
      <c r="C37" s="6" t="s">
        <v>152</v>
      </c>
      <c r="D37" s="6" t="s">
        <v>153</v>
      </c>
      <c r="E37" s="6" t="s">
        <v>154</v>
      </c>
      <c r="F37" s="6" t="s">
        <v>31</v>
      </c>
      <c r="G37" s="11">
        <v>2024</v>
      </c>
      <c r="H37" s="9">
        <v>28640000</v>
      </c>
      <c r="I37" s="18">
        <v>431693000</v>
      </c>
      <c r="J37" s="41"/>
      <c r="K37" s="41"/>
      <c r="L37" s="18">
        <v>43461000</v>
      </c>
      <c r="M37" s="18">
        <v>22588000</v>
      </c>
      <c r="N37" s="18">
        <v>22873000</v>
      </c>
      <c r="O37" s="18">
        <v>123802000</v>
      </c>
      <c r="P37" s="41"/>
      <c r="Q37" s="18">
        <v>11054000</v>
      </c>
      <c r="R37" s="41"/>
      <c r="S37" s="41"/>
      <c r="T37" s="18">
        <v>258713000</v>
      </c>
      <c r="U37" s="18">
        <v>60690000</v>
      </c>
      <c r="V37" s="18">
        <v>478369000</v>
      </c>
      <c r="W37" s="18">
        <v>1617994000</v>
      </c>
      <c r="X37" s="18">
        <v>135743000</v>
      </c>
      <c r="Y37" s="18">
        <f t="shared" si="11"/>
        <v>223778000</v>
      </c>
      <c r="Z37" s="42">
        <f t="shared" si="12"/>
        <v>0.51837301044955564</v>
      </c>
      <c r="AA37" s="6" t="str">
        <f t="shared" si="13"/>
        <v>No</v>
      </c>
      <c r="AB37" s="6" t="str">
        <f t="shared" si="14"/>
        <v>No</v>
      </c>
      <c r="AC37" s="6" t="str">
        <f t="shared" si="15"/>
        <v>No</v>
      </c>
      <c r="AD37" s="6" t="str">
        <f t="shared" si="16"/>
        <v>No</v>
      </c>
      <c r="AE37" s="6" t="str">
        <f t="shared" si="17"/>
        <v>No</v>
      </c>
      <c r="AF37" s="6" t="s">
        <v>639</v>
      </c>
      <c r="AG37" s="6" t="str">
        <f t="shared" si="18"/>
        <v>Yes</v>
      </c>
      <c r="AH37" s="6" t="str">
        <f t="shared" si="19"/>
        <v>Clean</v>
      </c>
      <c r="AI37" s="6" t="s">
        <v>602</v>
      </c>
      <c r="AJ37" s="6" t="s">
        <v>32</v>
      </c>
      <c r="AK37" s="6" t="s">
        <v>155</v>
      </c>
    </row>
    <row r="38" spans="1:37" ht="28">
      <c r="A38" s="6" t="str">
        <f t="shared" si="10"/>
        <v>DCA-2019</v>
      </c>
      <c r="B38" s="6" t="s">
        <v>179</v>
      </c>
      <c r="C38" s="6" t="s">
        <v>180</v>
      </c>
      <c r="D38" s="6" t="s">
        <v>181</v>
      </c>
      <c r="E38" s="6" t="s">
        <v>176</v>
      </c>
      <c r="F38" s="6" t="s">
        <v>31</v>
      </c>
      <c r="G38" s="11">
        <v>2019</v>
      </c>
      <c r="H38" s="9">
        <v>11949040</v>
      </c>
      <c r="I38" s="18">
        <v>294890000</v>
      </c>
      <c r="J38" s="41"/>
      <c r="K38" s="41"/>
      <c r="L38" s="18">
        <v>18393000</v>
      </c>
      <c r="M38" s="18">
        <v>6016000</v>
      </c>
      <c r="N38" s="18">
        <v>17531000</v>
      </c>
      <c r="O38" s="18">
        <v>83276000</v>
      </c>
      <c r="P38" s="41"/>
      <c r="Q38" s="18">
        <v>9547000</v>
      </c>
      <c r="R38" s="41"/>
      <c r="S38" s="41"/>
      <c r="T38" s="18">
        <v>193136000</v>
      </c>
      <c r="U38" s="18">
        <v>52483000</v>
      </c>
      <c r="V38" s="18">
        <v>187041000</v>
      </c>
      <c r="W38" s="18">
        <v>1158295000</v>
      </c>
      <c r="X38" s="18">
        <v>137313000</v>
      </c>
      <c r="Y38" s="18">
        <f t="shared" si="11"/>
        <v>134763000</v>
      </c>
      <c r="Z38" s="42">
        <f t="shared" si="12"/>
        <v>0.45699413340567668</v>
      </c>
      <c r="AA38" s="6" t="str">
        <f t="shared" si="13"/>
        <v>No</v>
      </c>
      <c r="AB38" s="6" t="str">
        <f t="shared" si="14"/>
        <v>No</v>
      </c>
      <c r="AC38" s="6" t="str">
        <f t="shared" si="15"/>
        <v>No</v>
      </c>
      <c r="AD38" s="6" t="str">
        <f t="shared" si="16"/>
        <v>No</v>
      </c>
      <c r="AE38" s="6" t="str">
        <f t="shared" si="17"/>
        <v>No</v>
      </c>
      <c r="AF38" s="6" t="s">
        <v>640</v>
      </c>
      <c r="AG38" s="6" t="str">
        <f t="shared" si="18"/>
        <v>Yes</v>
      </c>
      <c r="AH38" s="6" t="str">
        <f t="shared" si="19"/>
        <v>Clean</v>
      </c>
      <c r="AI38" s="6" t="s">
        <v>606</v>
      </c>
      <c r="AJ38" s="6" t="s">
        <v>32</v>
      </c>
      <c r="AK38" s="6" t="s">
        <v>182</v>
      </c>
    </row>
    <row r="39" spans="1:37" ht="28">
      <c r="A39" s="6" t="str">
        <f t="shared" si="10"/>
        <v>DCA-2020</v>
      </c>
      <c r="B39" s="6" t="s">
        <v>179</v>
      </c>
      <c r="C39" s="6" t="s">
        <v>180</v>
      </c>
      <c r="D39" s="6" t="s">
        <v>181</v>
      </c>
      <c r="E39" s="6" t="s">
        <v>176</v>
      </c>
      <c r="F39" s="6" t="s">
        <v>31</v>
      </c>
      <c r="G39" s="11">
        <v>2020</v>
      </c>
      <c r="H39" s="9">
        <v>3767537</v>
      </c>
      <c r="I39" s="18">
        <v>177685000</v>
      </c>
      <c r="J39" s="41"/>
      <c r="K39" s="41"/>
      <c r="L39" s="18">
        <v>5647000</v>
      </c>
      <c r="M39" s="18">
        <v>2044000</v>
      </c>
      <c r="N39" s="18">
        <v>6870000</v>
      </c>
      <c r="O39" s="18">
        <v>28936000</v>
      </c>
      <c r="P39" s="41"/>
      <c r="Q39" s="18">
        <v>5556000</v>
      </c>
      <c r="R39" s="41"/>
      <c r="S39" s="41"/>
      <c r="T39" s="18">
        <v>163594000</v>
      </c>
      <c r="U39" s="18">
        <v>-38061000</v>
      </c>
      <c r="V39" s="18">
        <v>279088000</v>
      </c>
      <c r="W39" s="18">
        <v>1136262000</v>
      </c>
      <c r="X39" s="18">
        <v>107977000</v>
      </c>
      <c r="Y39" s="18">
        <f t="shared" si="11"/>
        <v>49053000</v>
      </c>
      <c r="Z39" s="42">
        <f t="shared" si="12"/>
        <v>0.27606719756873116</v>
      </c>
      <c r="AA39" s="6" t="str">
        <f t="shared" si="13"/>
        <v>No</v>
      </c>
      <c r="AB39" s="6" t="str">
        <f t="shared" si="14"/>
        <v>No</v>
      </c>
      <c r="AC39" s="6" t="str">
        <f t="shared" si="15"/>
        <v>No</v>
      </c>
      <c r="AD39" s="6" t="str">
        <f t="shared" si="16"/>
        <v>Yes</v>
      </c>
      <c r="AE39" s="6" t="str">
        <f t="shared" si="17"/>
        <v>No</v>
      </c>
      <c r="AF39" s="6" t="s">
        <v>640</v>
      </c>
      <c r="AG39" s="6" t="str">
        <f t="shared" si="18"/>
        <v>Yes</v>
      </c>
      <c r="AH39" s="6" t="str">
        <f t="shared" si="19"/>
        <v>Clean</v>
      </c>
      <c r="AI39" s="6" t="s">
        <v>606</v>
      </c>
      <c r="AJ39" s="6" t="s">
        <v>32</v>
      </c>
      <c r="AK39" s="6" t="s">
        <v>182</v>
      </c>
    </row>
    <row r="40" spans="1:37" ht="28">
      <c r="A40" s="6" t="str">
        <f t="shared" si="10"/>
        <v>DCA-2021</v>
      </c>
      <c r="B40" s="6" t="s">
        <v>179</v>
      </c>
      <c r="C40" s="6" t="s">
        <v>180</v>
      </c>
      <c r="D40" s="6" t="s">
        <v>181</v>
      </c>
      <c r="E40" s="6" t="s">
        <v>176</v>
      </c>
      <c r="F40" s="6" t="s">
        <v>31</v>
      </c>
      <c r="G40" s="11">
        <v>2021</v>
      </c>
      <c r="H40" s="9">
        <v>7048963</v>
      </c>
      <c r="I40" s="18">
        <v>233919000</v>
      </c>
      <c r="J40" s="41"/>
      <c r="K40" s="41"/>
      <c r="L40" s="18">
        <v>7352000</v>
      </c>
      <c r="M40" s="18">
        <v>2684000</v>
      </c>
      <c r="N40" s="18">
        <v>16271000</v>
      </c>
      <c r="O40" s="18">
        <v>52546000</v>
      </c>
      <c r="P40" s="41"/>
      <c r="Q40" s="18">
        <v>7389000</v>
      </c>
      <c r="R40" s="41"/>
      <c r="S40" s="41"/>
      <c r="T40" s="18">
        <v>159719000</v>
      </c>
      <c r="U40" s="18">
        <v>6608000</v>
      </c>
      <c r="V40" s="18">
        <v>1270067000</v>
      </c>
      <c r="W40" s="18">
        <v>1409668000</v>
      </c>
      <c r="X40" s="18">
        <v>126862000</v>
      </c>
      <c r="Y40" s="18">
        <f t="shared" si="11"/>
        <v>86242000</v>
      </c>
      <c r="Z40" s="42">
        <f t="shared" si="12"/>
        <v>0.36868317665516698</v>
      </c>
      <c r="AA40" s="6" t="str">
        <f t="shared" si="13"/>
        <v>No</v>
      </c>
      <c r="AB40" s="6" t="str">
        <f t="shared" si="14"/>
        <v>No</v>
      </c>
      <c r="AC40" s="6" t="str">
        <f t="shared" si="15"/>
        <v>No</v>
      </c>
      <c r="AD40" s="6" t="str">
        <f t="shared" si="16"/>
        <v>No</v>
      </c>
      <c r="AE40" s="6" t="str">
        <f t="shared" si="17"/>
        <v>No</v>
      </c>
      <c r="AF40" s="6" t="s">
        <v>640</v>
      </c>
      <c r="AG40" s="6" t="str">
        <f t="shared" si="18"/>
        <v>Yes</v>
      </c>
      <c r="AH40" s="6" t="str">
        <f t="shared" si="19"/>
        <v>Clean</v>
      </c>
      <c r="AI40" s="6" t="s">
        <v>606</v>
      </c>
      <c r="AJ40" s="6" t="s">
        <v>32</v>
      </c>
      <c r="AK40" s="6" t="s">
        <v>182</v>
      </c>
    </row>
    <row r="41" spans="1:37" ht="28">
      <c r="A41" s="6" t="str">
        <f t="shared" si="10"/>
        <v>DCA-2022</v>
      </c>
      <c r="B41" s="6" t="s">
        <v>179</v>
      </c>
      <c r="C41" s="6" t="s">
        <v>180</v>
      </c>
      <c r="D41" s="6" t="s">
        <v>181</v>
      </c>
      <c r="E41" s="6" t="s">
        <v>176</v>
      </c>
      <c r="F41" s="6" t="s">
        <v>31</v>
      </c>
      <c r="G41" s="11">
        <v>2022</v>
      </c>
      <c r="H41" s="9">
        <v>11969485</v>
      </c>
      <c r="I41" s="18">
        <v>303578000</v>
      </c>
      <c r="J41" s="41"/>
      <c r="K41" s="41"/>
      <c r="L41" s="18">
        <v>10619000</v>
      </c>
      <c r="M41" s="18">
        <v>3244000</v>
      </c>
      <c r="N41" s="18">
        <v>19476000</v>
      </c>
      <c r="O41" s="18">
        <v>95969000</v>
      </c>
      <c r="P41" s="41"/>
      <c r="Q41" s="18">
        <v>10544000</v>
      </c>
      <c r="R41" s="41"/>
      <c r="S41" s="41"/>
      <c r="T41" s="18">
        <v>188225000</v>
      </c>
      <c r="U41" s="18">
        <v>30962000</v>
      </c>
      <c r="V41" s="18">
        <v>58199000</v>
      </c>
      <c r="W41" s="18">
        <v>1258301000</v>
      </c>
      <c r="X41" s="18">
        <v>133293000</v>
      </c>
      <c r="Y41" s="18">
        <f t="shared" si="11"/>
        <v>139852000</v>
      </c>
      <c r="Z41" s="42">
        <f t="shared" si="12"/>
        <v>0.46067896883173354</v>
      </c>
      <c r="AA41" s="6" t="str">
        <f t="shared" si="13"/>
        <v>No</v>
      </c>
      <c r="AB41" s="6" t="str">
        <f t="shared" si="14"/>
        <v>No</v>
      </c>
      <c r="AC41" s="6" t="str">
        <f t="shared" si="15"/>
        <v>No</v>
      </c>
      <c r="AD41" s="6" t="str">
        <f t="shared" si="16"/>
        <v>No</v>
      </c>
      <c r="AE41" s="6" t="str">
        <f t="shared" si="17"/>
        <v>No</v>
      </c>
      <c r="AF41" s="6" t="s">
        <v>640</v>
      </c>
      <c r="AG41" s="6" t="str">
        <f t="shared" si="18"/>
        <v>Yes</v>
      </c>
      <c r="AH41" s="6" t="str">
        <f t="shared" si="19"/>
        <v>Clean</v>
      </c>
      <c r="AI41" s="6" t="s">
        <v>606</v>
      </c>
      <c r="AJ41" s="6" t="s">
        <v>32</v>
      </c>
      <c r="AK41" s="6" t="s">
        <v>182</v>
      </c>
    </row>
    <row r="42" spans="1:37" ht="28">
      <c r="A42" s="6" t="str">
        <f t="shared" si="10"/>
        <v>DCA-2023</v>
      </c>
      <c r="B42" s="6" t="s">
        <v>179</v>
      </c>
      <c r="C42" s="6" t="s">
        <v>180</v>
      </c>
      <c r="D42" s="6" t="s">
        <v>181</v>
      </c>
      <c r="E42" s="6" t="s">
        <v>176</v>
      </c>
      <c r="F42" s="6" t="s">
        <v>31</v>
      </c>
      <c r="G42" s="11">
        <v>2023</v>
      </c>
      <c r="H42" s="9">
        <v>12735187</v>
      </c>
      <c r="I42" s="18">
        <v>318176000</v>
      </c>
      <c r="J42" s="41"/>
      <c r="K42" s="41"/>
      <c r="L42" s="18">
        <v>15323000</v>
      </c>
      <c r="M42" s="18">
        <v>4030000</v>
      </c>
      <c r="N42" s="18">
        <v>21820000</v>
      </c>
      <c r="O42" s="18">
        <v>106656000</v>
      </c>
      <c r="P42" s="41"/>
      <c r="Q42" s="18">
        <v>16144000</v>
      </c>
      <c r="R42" s="41"/>
      <c r="S42" s="41"/>
      <c r="T42" s="18">
        <v>196699000</v>
      </c>
      <c r="U42" s="18">
        <v>32858000</v>
      </c>
      <c r="V42" s="18">
        <v>126530000</v>
      </c>
      <c r="W42" s="18">
        <v>1258056000</v>
      </c>
      <c r="X42" s="18">
        <v>119456000</v>
      </c>
      <c r="Y42" s="18">
        <f t="shared" si="11"/>
        <v>163973000</v>
      </c>
      <c r="Z42" s="42">
        <f t="shared" si="12"/>
        <v>0.51535313788594994</v>
      </c>
      <c r="AA42" s="6" t="str">
        <f t="shared" si="13"/>
        <v>No</v>
      </c>
      <c r="AB42" s="6" t="str">
        <f t="shared" si="14"/>
        <v>No</v>
      </c>
      <c r="AC42" s="6" t="str">
        <f t="shared" si="15"/>
        <v>No</v>
      </c>
      <c r="AD42" s="6" t="str">
        <f t="shared" si="16"/>
        <v>No</v>
      </c>
      <c r="AE42" s="6" t="str">
        <f t="shared" si="17"/>
        <v>No</v>
      </c>
      <c r="AF42" s="6" t="s">
        <v>640</v>
      </c>
      <c r="AG42" s="6" t="str">
        <f t="shared" si="18"/>
        <v>Yes</v>
      </c>
      <c r="AH42" s="6" t="str">
        <f t="shared" si="19"/>
        <v>Clean</v>
      </c>
      <c r="AI42" s="6" t="s">
        <v>606</v>
      </c>
      <c r="AJ42" s="6" t="s">
        <v>32</v>
      </c>
      <c r="AK42" s="6" t="s">
        <v>182</v>
      </c>
    </row>
    <row r="43" spans="1:37" ht="28">
      <c r="A43" s="6" t="str">
        <f t="shared" si="10"/>
        <v>DCA-2024</v>
      </c>
      <c r="B43" s="6" t="s">
        <v>179</v>
      </c>
      <c r="C43" s="6" t="s">
        <v>180</v>
      </c>
      <c r="D43" s="6" t="s">
        <v>181</v>
      </c>
      <c r="E43" s="6" t="s">
        <v>176</v>
      </c>
      <c r="F43" s="6" t="s">
        <v>31</v>
      </c>
      <c r="G43" s="11">
        <v>2024</v>
      </c>
      <c r="H43" s="9">
        <v>13113084</v>
      </c>
      <c r="I43" s="18">
        <v>316019000</v>
      </c>
      <c r="J43" s="41"/>
      <c r="K43" s="41"/>
      <c r="L43" s="18">
        <v>25511000</v>
      </c>
      <c r="M43" s="18">
        <v>4719000</v>
      </c>
      <c r="N43" s="18">
        <v>22890000</v>
      </c>
      <c r="O43" s="18">
        <v>110355000</v>
      </c>
      <c r="P43" s="41"/>
      <c r="Q43" s="18">
        <v>16112000</v>
      </c>
      <c r="R43" s="41"/>
      <c r="S43" s="41"/>
      <c r="T43" s="18">
        <v>225208000</v>
      </c>
      <c r="U43" s="18">
        <v>423000</v>
      </c>
      <c r="V43" s="18">
        <v>95547000</v>
      </c>
      <c r="W43" s="18">
        <v>1369652000</v>
      </c>
      <c r="X43" s="18">
        <v>101424000</v>
      </c>
      <c r="Y43" s="18">
        <f t="shared" si="11"/>
        <v>179587000</v>
      </c>
      <c r="Z43" s="42">
        <f t="shared" si="12"/>
        <v>0.56827912245782686</v>
      </c>
      <c r="AA43" s="6" t="str">
        <f t="shared" si="13"/>
        <v>No</v>
      </c>
      <c r="AB43" s="6" t="str">
        <f t="shared" si="14"/>
        <v>No</v>
      </c>
      <c r="AC43" s="6" t="str">
        <f t="shared" si="15"/>
        <v>No</v>
      </c>
      <c r="AD43" s="6" t="str">
        <f t="shared" si="16"/>
        <v>No</v>
      </c>
      <c r="AE43" s="6" t="str">
        <f t="shared" si="17"/>
        <v>No</v>
      </c>
      <c r="AF43" s="6" t="s">
        <v>640</v>
      </c>
      <c r="AG43" s="6" t="str">
        <f t="shared" si="18"/>
        <v>Yes</v>
      </c>
      <c r="AH43" s="6" t="str">
        <f t="shared" si="19"/>
        <v>Clean</v>
      </c>
      <c r="AI43" s="6" t="s">
        <v>606</v>
      </c>
      <c r="AJ43" s="6" t="s">
        <v>32</v>
      </c>
      <c r="AK43" s="6" t="s">
        <v>182</v>
      </c>
    </row>
    <row r="44" spans="1:37" ht="28">
      <c r="A44" s="6" t="str">
        <f t="shared" si="10"/>
        <v>DEN-2019</v>
      </c>
      <c r="B44" s="6" t="s">
        <v>57</v>
      </c>
      <c r="C44" s="6" t="s">
        <v>58</v>
      </c>
      <c r="D44" s="6" t="s">
        <v>59</v>
      </c>
      <c r="E44" s="6" t="s">
        <v>60</v>
      </c>
      <c r="F44" s="6" t="s">
        <v>31</v>
      </c>
      <c r="G44" s="11">
        <v>2019</v>
      </c>
      <c r="H44" s="9">
        <v>34512954</v>
      </c>
      <c r="I44" s="18">
        <v>867793000</v>
      </c>
      <c r="J44" s="41"/>
      <c r="K44" s="41"/>
      <c r="L44" s="18">
        <v>42848000</v>
      </c>
      <c r="M44" s="18">
        <v>19100000</v>
      </c>
      <c r="N44" s="18">
        <v>80348000</v>
      </c>
      <c r="O44" s="18">
        <v>223499000</v>
      </c>
      <c r="P44" s="41"/>
      <c r="Q44" s="18">
        <v>17530000</v>
      </c>
      <c r="R44" s="41"/>
      <c r="S44" s="41"/>
      <c r="T44" s="18">
        <v>584472000</v>
      </c>
      <c r="U44" s="18">
        <v>80000000</v>
      </c>
      <c r="V44" s="18">
        <v>614360000</v>
      </c>
      <c r="W44" s="18">
        <v>6171294000</v>
      </c>
      <c r="X44" s="18">
        <v>354180000</v>
      </c>
      <c r="Y44" s="18">
        <f t="shared" si="11"/>
        <v>383325000</v>
      </c>
      <c r="Z44" s="42">
        <f t="shared" si="12"/>
        <v>0.44172400560963271</v>
      </c>
      <c r="AA44" s="6" t="str">
        <f t="shared" si="13"/>
        <v>No</v>
      </c>
      <c r="AB44" s="6" t="str">
        <f t="shared" si="14"/>
        <v>No</v>
      </c>
      <c r="AC44" s="6" t="str">
        <f t="shared" si="15"/>
        <v>No</v>
      </c>
      <c r="AD44" s="6" t="str">
        <f t="shared" si="16"/>
        <v>No</v>
      </c>
      <c r="AE44" s="6" t="str">
        <f t="shared" si="17"/>
        <v>No</v>
      </c>
      <c r="AF44" s="6" t="s">
        <v>639</v>
      </c>
      <c r="AG44" s="6" t="str">
        <f t="shared" si="18"/>
        <v>Yes</v>
      </c>
      <c r="AH44" s="6" t="str">
        <f t="shared" si="19"/>
        <v>Clean</v>
      </c>
      <c r="AI44" s="6" t="s">
        <v>602</v>
      </c>
      <c r="AJ44" s="6" t="s">
        <v>32</v>
      </c>
      <c r="AK44" s="6" t="s">
        <v>61</v>
      </c>
    </row>
    <row r="45" spans="1:37" ht="28">
      <c r="A45" s="6" t="str">
        <f t="shared" si="10"/>
        <v>DEN-2020</v>
      </c>
      <c r="B45" s="6" t="s">
        <v>57</v>
      </c>
      <c r="C45" s="6" t="s">
        <v>58</v>
      </c>
      <c r="D45" s="6" t="s">
        <v>59</v>
      </c>
      <c r="E45" s="6" t="s">
        <v>60</v>
      </c>
      <c r="F45" s="6" t="s">
        <v>31</v>
      </c>
      <c r="G45" s="11">
        <v>2020</v>
      </c>
      <c r="H45" s="9">
        <v>16873843</v>
      </c>
      <c r="I45" s="18">
        <v>591809000</v>
      </c>
      <c r="J45" s="41"/>
      <c r="K45" s="41"/>
      <c r="L45" s="18">
        <v>20192000</v>
      </c>
      <c r="M45" s="18">
        <v>9148000</v>
      </c>
      <c r="N45" s="18">
        <v>45993000</v>
      </c>
      <c r="O45" s="18">
        <v>96834000</v>
      </c>
      <c r="P45" s="41"/>
      <c r="Q45" s="18">
        <v>12509000</v>
      </c>
      <c r="R45" s="41"/>
      <c r="S45" s="41"/>
      <c r="T45" s="18">
        <v>475901000</v>
      </c>
      <c r="U45" s="18">
        <v>-94605000</v>
      </c>
      <c r="V45" s="18">
        <v>865794000</v>
      </c>
      <c r="W45" s="18">
        <v>5930345000</v>
      </c>
      <c r="X45" s="18">
        <v>328108000</v>
      </c>
      <c r="Y45" s="18">
        <f t="shared" si="11"/>
        <v>184676000</v>
      </c>
      <c r="Z45" s="42">
        <f t="shared" si="12"/>
        <v>0.31205338208780198</v>
      </c>
      <c r="AA45" s="6" t="str">
        <f t="shared" si="13"/>
        <v>No</v>
      </c>
      <c r="AB45" s="6" t="str">
        <f t="shared" si="14"/>
        <v>No</v>
      </c>
      <c r="AC45" s="6" t="str">
        <f t="shared" si="15"/>
        <v>No</v>
      </c>
      <c r="AD45" s="6" t="str">
        <f t="shared" si="16"/>
        <v>Yes</v>
      </c>
      <c r="AE45" s="6" t="str">
        <f t="shared" si="17"/>
        <v>No</v>
      </c>
      <c r="AF45" s="6" t="s">
        <v>639</v>
      </c>
      <c r="AG45" s="6" t="str">
        <f t="shared" si="18"/>
        <v>Yes</v>
      </c>
      <c r="AH45" s="6" t="str">
        <f t="shared" si="19"/>
        <v>Clean</v>
      </c>
      <c r="AI45" s="6" t="s">
        <v>602</v>
      </c>
      <c r="AJ45" s="6" t="s">
        <v>32</v>
      </c>
      <c r="AK45" s="6" t="s">
        <v>61</v>
      </c>
    </row>
    <row r="46" spans="1:37" ht="28">
      <c r="A46" s="6" t="str">
        <f t="shared" si="10"/>
        <v>DEN-2021</v>
      </c>
      <c r="B46" s="6" t="s">
        <v>57</v>
      </c>
      <c r="C46" s="6" t="s">
        <v>58</v>
      </c>
      <c r="D46" s="6" t="s">
        <v>59</v>
      </c>
      <c r="E46" s="6" t="s">
        <v>60</v>
      </c>
      <c r="F46" s="6" t="s">
        <v>31</v>
      </c>
      <c r="G46" s="11">
        <v>2021</v>
      </c>
      <c r="H46" s="9">
        <v>29417882</v>
      </c>
      <c r="I46" s="18">
        <v>716397000</v>
      </c>
      <c r="J46" s="41"/>
      <c r="K46" s="41"/>
      <c r="L46" s="18">
        <v>34041000</v>
      </c>
      <c r="M46" s="18">
        <v>14632000</v>
      </c>
      <c r="N46" s="18">
        <v>75703000</v>
      </c>
      <c r="O46" s="18">
        <v>161657000</v>
      </c>
      <c r="P46" s="41"/>
      <c r="Q46" s="18">
        <v>16507000</v>
      </c>
      <c r="R46" s="41"/>
      <c r="S46" s="41"/>
      <c r="T46" s="18">
        <v>461412000</v>
      </c>
      <c r="U46" s="18">
        <v>28132000</v>
      </c>
      <c r="V46" s="18">
        <v>1733521000</v>
      </c>
      <c r="W46" s="18">
        <v>6344198000</v>
      </c>
      <c r="X46" s="18">
        <v>308405000</v>
      </c>
      <c r="Y46" s="18">
        <f t="shared" si="11"/>
        <v>302540000</v>
      </c>
      <c r="Z46" s="42">
        <f t="shared" si="12"/>
        <v>0.42230774277390887</v>
      </c>
      <c r="AA46" s="6" t="str">
        <f t="shared" si="13"/>
        <v>No</v>
      </c>
      <c r="AB46" s="6" t="str">
        <f t="shared" si="14"/>
        <v>No</v>
      </c>
      <c r="AC46" s="6" t="str">
        <f t="shared" si="15"/>
        <v>No</v>
      </c>
      <c r="AD46" s="6" t="str">
        <f t="shared" si="16"/>
        <v>No</v>
      </c>
      <c r="AE46" s="6" t="str">
        <f t="shared" si="17"/>
        <v>No</v>
      </c>
      <c r="AF46" s="6" t="s">
        <v>639</v>
      </c>
      <c r="AG46" s="6" t="str">
        <f t="shared" si="18"/>
        <v>Yes</v>
      </c>
      <c r="AH46" s="6" t="str">
        <f t="shared" si="19"/>
        <v>Clean</v>
      </c>
      <c r="AI46" s="6" t="s">
        <v>602</v>
      </c>
      <c r="AJ46" s="6" t="s">
        <v>32</v>
      </c>
      <c r="AK46" s="6" t="s">
        <v>61</v>
      </c>
    </row>
    <row r="47" spans="1:37" ht="28">
      <c r="A47" s="6" t="str">
        <f t="shared" si="10"/>
        <v>DEN-2022</v>
      </c>
      <c r="B47" s="6" t="s">
        <v>57</v>
      </c>
      <c r="C47" s="6" t="s">
        <v>58</v>
      </c>
      <c r="D47" s="6" t="s">
        <v>59</v>
      </c>
      <c r="E47" s="6" t="s">
        <v>60</v>
      </c>
      <c r="F47" s="6" t="s">
        <v>31</v>
      </c>
      <c r="G47" s="11">
        <v>2022</v>
      </c>
      <c r="H47" s="9">
        <v>34642858</v>
      </c>
      <c r="I47" s="18">
        <v>930185000</v>
      </c>
      <c r="J47" s="41"/>
      <c r="K47" s="41"/>
      <c r="L47" s="18">
        <v>44574000</v>
      </c>
      <c r="M47" s="18">
        <v>22831000</v>
      </c>
      <c r="N47" s="18">
        <v>88326000</v>
      </c>
      <c r="O47" s="18">
        <v>226190000</v>
      </c>
      <c r="P47" s="41"/>
      <c r="Q47" s="18">
        <v>30042000</v>
      </c>
      <c r="R47" s="41"/>
      <c r="S47" s="41"/>
      <c r="T47" s="18">
        <v>542556000</v>
      </c>
      <c r="U47" s="18">
        <v>113444000</v>
      </c>
      <c r="V47" s="18">
        <v>554660000</v>
      </c>
      <c r="W47" s="18">
        <v>8008676000</v>
      </c>
      <c r="X47" s="18">
        <v>363188000</v>
      </c>
      <c r="Y47" s="18">
        <f t="shared" si="11"/>
        <v>411963000</v>
      </c>
      <c r="Z47" s="42">
        <f t="shared" si="12"/>
        <v>0.44288286738659516</v>
      </c>
      <c r="AA47" s="6" t="str">
        <f t="shared" si="13"/>
        <v>No</v>
      </c>
      <c r="AB47" s="6" t="str">
        <f t="shared" si="14"/>
        <v>No</v>
      </c>
      <c r="AC47" s="6" t="str">
        <f t="shared" si="15"/>
        <v>No</v>
      </c>
      <c r="AD47" s="6" t="str">
        <f t="shared" si="16"/>
        <v>No</v>
      </c>
      <c r="AE47" s="6" t="str">
        <f t="shared" si="17"/>
        <v>No</v>
      </c>
      <c r="AF47" s="6" t="s">
        <v>639</v>
      </c>
      <c r="AG47" s="6" t="str">
        <f t="shared" si="18"/>
        <v>Yes</v>
      </c>
      <c r="AH47" s="6" t="str">
        <f t="shared" si="19"/>
        <v>Clean</v>
      </c>
      <c r="AI47" s="6" t="s">
        <v>602</v>
      </c>
      <c r="AJ47" s="6" t="s">
        <v>32</v>
      </c>
      <c r="AK47" s="6" t="s">
        <v>61</v>
      </c>
    </row>
    <row r="48" spans="1:37" ht="28">
      <c r="A48" s="6" t="str">
        <f t="shared" si="10"/>
        <v>DEN-2023</v>
      </c>
      <c r="B48" s="6" t="s">
        <v>57</v>
      </c>
      <c r="C48" s="6" t="s">
        <v>58</v>
      </c>
      <c r="D48" s="6" t="s">
        <v>59</v>
      </c>
      <c r="E48" s="6" t="s">
        <v>60</v>
      </c>
      <c r="F48" s="6" t="s">
        <v>31</v>
      </c>
      <c r="G48" s="11">
        <v>2023</v>
      </c>
      <c r="H48" s="9">
        <v>38898467</v>
      </c>
      <c r="I48" s="18">
        <v>1022065000</v>
      </c>
      <c r="J48" s="41"/>
      <c r="K48" s="41"/>
      <c r="L48" s="18">
        <v>38133000</v>
      </c>
      <c r="M48" s="18">
        <v>20572000</v>
      </c>
      <c r="N48" s="18">
        <v>95270000</v>
      </c>
      <c r="O48" s="18">
        <v>254066000</v>
      </c>
      <c r="P48" s="41"/>
      <c r="Q48" s="18">
        <v>30761000</v>
      </c>
      <c r="R48" s="41"/>
      <c r="S48" s="41"/>
      <c r="T48" s="18">
        <v>578715000</v>
      </c>
      <c r="U48" s="18">
        <v>114063000</v>
      </c>
      <c r="V48" s="18">
        <v>724269000</v>
      </c>
      <c r="W48" s="18">
        <v>7693204000</v>
      </c>
      <c r="X48" s="18">
        <v>420862000</v>
      </c>
      <c r="Y48" s="18">
        <f t="shared" si="11"/>
        <v>438802000</v>
      </c>
      <c r="Z48" s="42">
        <f t="shared" si="12"/>
        <v>0.42932885873207671</v>
      </c>
      <c r="AA48" s="6" t="str">
        <f t="shared" si="13"/>
        <v>No</v>
      </c>
      <c r="AB48" s="6" t="str">
        <f t="shared" si="14"/>
        <v>No</v>
      </c>
      <c r="AC48" s="6" t="str">
        <f t="shared" si="15"/>
        <v>No</v>
      </c>
      <c r="AD48" s="6" t="str">
        <f t="shared" si="16"/>
        <v>No</v>
      </c>
      <c r="AE48" s="6" t="str">
        <f t="shared" si="17"/>
        <v>No</v>
      </c>
      <c r="AF48" s="6" t="s">
        <v>639</v>
      </c>
      <c r="AG48" s="6" t="str">
        <f t="shared" si="18"/>
        <v>Yes</v>
      </c>
      <c r="AH48" s="6" t="str">
        <f t="shared" si="19"/>
        <v>Clean</v>
      </c>
      <c r="AI48" s="6" t="s">
        <v>602</v>
      </c>
      <c r="AJ48" s="6" t="s">
        <v>32</v>
      </c>
      <c r="AK48" s="6" t="s">
        <v>61</v>
      </c>
    </row>
    <row r="49" spans="1:37" ht="28">
      <c r="A49" s="6" t="str">
        <f t="shared" si="10"/>
        <v>DEN-2024</v>
      </c>
      <c r="B49" s="6" t="s">
        <v>57</v>
      </c>
      <c r="C49" s="6" t="s">
        <v>58</v>
      </c>
      <c r="D49" s="6" t="s">
        <v>59</v>
      </c>
      <c r="E49" s="6" t="s">
        <v>60</v>
      </c>
      <c r="F49" s="6" t="s">
        <v>31</v>
      </c>
      <c r="G49" s="11">
        <v>2024</v>
      </c>
      <c r="H49" s="9">
        <v>41146001</v>
      </c>
      <c r="I49" s="18">
        <v>1180701000</v>
      </c>
      <c r="J49" s="41"/>
      <c r="K49" s="41"/>
      <c r="L49" s="18">
        <v>57532000</v>
      </c>
      <c r="M49" s="18">
        <v>28581000</v>
      </c>
      <c r="N49" s="18">
        <v>95945000</v>
      </c>
      <c r="O49" s="18">
        <v>255981000</v>
      </c>
      <c r="P49" s="41"/>
      <c r="Q49" s="18">
        <v>43432000</v>
      </c>
      <c r="R49" s="41"/>
      <c r="S49" s="41"/>
      <c r="T49" s="18">
        <v>651989000</v>
      </c>
      <c r="U49" s="18">
        <v>168410000</v>
      </c>
      <c r="V49" s="18">
        <v>773527000</v>
      </c>
      <c r="W49" s="18">
        <v>7361526000</v>
      </c>
      <c r="X49" s="18">
        <v>525210000</v>
      </c>
      <c r="Y49" s="18">
        <f t="shared" si="11"/>
        <v>481471000</v>
      </c>
      <c r="Z49" s="42">
        <f t="shared" si="12"/>
        <v>0.40778401983228607</v>
      </c>
      <c r="AA49" s="6" t="str">
        <f t="shared" si="13"/>
        <v>No</v>
      </c>
      <c r="AB49" s="6" t="str">
        <f t="shared" si="14"/>
        <v>No</v>
      </c>
      <c r="AC49" s="6" t="str">
        <f t="shared" si="15"/>
        <v>No</v>
      </c>
      <c r="AD49" s="6" t="str">
        <f t="shared" si="16"/>
        <v>No</v>
      </c>
      <c r="AE49" s="6" t="str">
        <f t="shared" si="17"/>
        <v>No</v>
      </c>
      <c r="AF49" s="6" t="s">
        <v>639</v>
      </c>
      <c r="AG49" s="6" t="str">
        <f t="shared" si="18"/>
        <v>Yes</v>
      </c>
      <c r="AH49" s="6" t="str">
        <f t="shared" si="19"/>
        <v>Clean</v>
      </c>
      <c r="AI49" s="6" t="s">
        <v>602</v>
      </c>
      <c r="AJ49" s="6" t="s">
        <v>32</v>
      </c>
      <c r="AK49" s="6" t="s">
        <v>61</v>
      </c>
    </row>
    <row r="50" spans="1:37" ht="28">
      <c r="A50" s="6" t="str">
        <f t="shared" si="10"/>
        <v>DFW-2019</v>
      </c>
      <c r="B50" s="6" t="s">
        <v>36</v>
      </c>
      <c r="C50" s="6" t="s">
        <v>37</v>
      </c>
      <c r="D50" s="6" t="s">
        <v>38</v>
      </c>
      <c r="E50" s="6" t="s">
        <v>39</v>
      </c>
      <c r="F50" s="6" t="s">
        <v>31</v>
      </c>
      <c r="G50" s="11">
        <v>2019</v>
      </c>
      <c r="H50" s="9">
        <v>36623417</v>
      </c>
      <c r="I50" s="18">
        <v>1023927000</v>
      </c>
      <c r="J50" s="41"/>
      <c r="K50" s="41"/>
      <c r="L50" s="18">
        <v>40135000</v>
      </c>
      <c r="M50" s="18">
        <v>24775000</v>
      </c>
      <c r="N50" s="18">
        <v>47480000</v>
      </c>
      <c r="O50" s="18">
        <v>184414000</v>
      </c>
      <c r="P50" s="41"/>
      <c r="Q50" s="18">
        <v>26888000</v>
      </c>
      <c r="R50" s="41"/>
      <c r="S50" s="41"/>
      <c r="T50" s="18">
        <v>571918000</v>
      </c>
      <c r="U50" s="18">
        <v>148812000</v>
      </c>
      <c r="V50" s="18">
        <v>407893000</v>
      </c>
      <c r="W50" s="18">
        <v>6272280000</v>
      </c>
      <c r="X50" s="18">
        <v>474389000</v>
      </c>
      <c r="Y50" s="18">
        <f t="shared" si="11"/>
        <v>323692000</v>
      </c>
      <c r="Z50" s="42">
        <f t="shared" si="12"/>
        <v>0.31612800521912204</v>
      </c>
      <c r="AA50" s="6" t="str">
        <f t="shared" si="13"/>
        <v>No</v>
      </c>
      <c r="AB50" s="6" t="str">
        <f t="shared" si="14"/>
        <v>No</v>
      </c>
      <c r="AC50" s="6" t="str">
        <f t="shared" si="15"/>
        <v>No</v>
      </c>
      <c r="AD50" s="6" t="str">
        <f t="shared" si="16"/>
        <v>No</v>
      </c>
      <c r="AE50" s="6" t="str">
        <f t="shared" si="17"/>
        <v>No</v>
      </c>
      <c r="AF50" s="6" t="s">
        <v>639</v>
      </c>
      <c r="AG50" s="6" t="str">
        <f t="shared" si="18"/>
        <v>Yes</v>
      </c>
      <c r="AH50" s="6" t="str">
        <f t="shared" si="19"/>
        <v>Clean</v>
      </c>
      <c r="AI50" s="6" t="s">
        <v>602</v>
      </c>
      <c r="AJ50" s="6" t="s">
        <v>32</v>
      </c>
      <c r="AK50" s="6" t="s">
        <v>40</v>
      </c>
    </row>
    <row r="51" spans="1:37" ht="28">
      <c r="A51" s="6" t="str">
        <f t="shared" si="10"/>
        <v>DFW-2020</v>
      </c>
      <c r="B51" s="6" t="s">
        <v>36</v>
      </c>
      <c r="C51" s="6" t="s">
        <v>37</v>
      </c>
      <c r="D51" s="6" t="s">
        <v>38</v>
      </c>
      <c r="E51" s="6" t="s">
        <v>39</v>
      </c>
      <c r="F51" s="6" t="s">
        <v>31</v>
      </c>
      <c r="G51" s="11">
        <v>2020</v>
      </c>
      <c r="H51" s="9">
        <v>23661724</v>
      </c>
      <c r="I51" s="18">
        <v>786181000</v>
      </c>
      <c r="J51" s="41"/>
      <c r="K51" s="41"/>
      <c r="L51" s="18">
        <v>25733000</v>
      </c>
      <c r="M51" s="18">
        <v>12071000</v>
      </c>
      <c r="N51" s="18">
        <v>32367000</v>
      </c>
      <c r="O51" s="18">
        <v>103714000</v>
      </c>
      <c r="P51" s="41"/>
      <c r="Q51" s="18">
        <v>22189000</v>
      </c>
      <c r="R51" s="41"/>
      <c r="S51" s="41"/>
      <c r="T51" s="18">
        <v>537558000</v>
      </c>
      <c r="U51" s="18">
        <v>-61538000</v>
      </c>
      <c r="V51" s="18">
        <v>484581000</v>
      </c>
      <c r="W51" s="18">
        <v>6175800000</v>
      </c>
      <c r="X51" s="18">
        <v>432726000</v>
      </c>
      <c r="Y51" s="18">
        <f t="shared" si="11"/>
        <v>196074000</v>
      </c>
      <c r="Z51" s="42">
        <f t="shared" si="12"/>
        <v>0.2494005833262315</v>
      </c>
      <c r="AA51" s="6" t="str">
        <f t="shared" si="13"/>
        <v>No</v>
      </c>
      <c r="AB51" s="6" t="str">
        <f t="shared" si="14"/>
        <v>No</v>
      </c>
      <c r="AC51" s="6" t="str">
        <f t="shared" si="15"/>
        <v>No</v>
      </c>
      <c r="AD51" s="6" t="str">
        <f t="shared" si="16"/>
        <v>Yes</v>
      </c>
      <c r="AE51" s="6" t="str">
        <f t="shared" si="17"/>
        <v>No</v>
      </c>
      <c r="AF51" s="6" t="s">
        <v>639</v>
      </c>
      <c r="AG51" s="6" t="str">
        <f t="shared" si="18"/>
        <v>Yes</v>
      </c>
      <c r="AH51" s="6" t="str">
        <f t="shared" si="19"/>
        <v>Clean</v>
      </c>
      <c r="AI51" s="6" t="s">
        <v>602</v>
      </c>
      <c r="AJ51" s="6" t="s">
        <v>32</v>
      </c>
      <c r="AK51" s="6" t="s">
        <v>40</v>
      </c>
    </row>
    <row r="52" spans="1:37" ht="28">
      <c r="A52" s="6" t="str">
        <f t="shared" si="10"/>
        <v>DFW-2021</v>
      </c>
      <c r="B52" s="6" t="s">
        <v>36</v>
      </c>
      <c r="C52" s="6" t="s">
        <v>37</v>
      </c>
      <c r="D52" s="6" t="s">
        <v>38</v>
      </c>
      <c r="E52" s="6" t="s">
        <v>39</v>
      </c>
      <c r="F52" s="6" t="s">
        <v>31</v>
      </c>
      <c r="G52" s="11">
        <v>2021</v>
      </c>
      <c r="H52" s="9">
        <v>27633567</v>
      </c>
      <c r="I52" s="18">
        <v>791802000</v>
      </c>
      <c r="J52" s="41"/>
      <c r="K52" s="41"/>
      <c r="L52" s="18">
        <v>30979000</v>
      </c>
      <c r="M52" s="18">
        <v>12873000</v>
      </c>
      <c r="N52" s="18">
        <v>40503000</v>
      </c>
      <c r="O52" s="18">
        <v>116564000</v>
      </c>
      <c r="P52" s="41"/>
      <c r="Q52" s="18">
        <v>20929000</v>
      </c>
      <c r="R52" s="41"/>
      <c r="S52" s="41"/>
      <c r="T52" s="18">
        <v>511736000</v>
      </c>
      <c r="U52" s="18">
        <v>280066000</v>
      </c>
      <c r="V52" s="18">
        <v>642523000</v>
      </c>
      <c r="W52" s="18">
        <v>6321955000</v>
      </c>
      <c r="X52" s="18">
        <v>431828000</v>
      </c>
      <c r="Y52" s="18">
        <f t="shared" si="11"/>
        <v>221848000</v>
      </c>
      <c r="Z52" s="42">
        <f t="shared" si="12"/>
        <v>0.28018115640021118</v>
      </c>
      <c r="AA52" s="6" t="str">
        <f t="shared" si="13"/>
        <v>No</v>
      </c>
      <c r="AB52" s="6" t="str">
        <f t="shared" si="14"/>
        <v>No</v>
      </c>
      <c r="AC52" s="6" t="str">
        <f t="shared" si="15"/>
        <v>No</v>
      </c>
      <c r="AD52" s="6" t="str">
        <f t="shared" si="16"/>
        <v>No</v>
      </c>
      <c r="AE52" s="6" t="str">
        <f t="shared" si="17"/>
        <v>No</v>
      </c>
      <c r="AF52" s="6" t="s">
        <v>639</v>
      </c>
      <c r="AG52" s="6" t="str">
        <f t="shared" si="18"/>
        <v>Yes</v>
      </c>
      <c r="AH52" s="6" t="str">
        <f t="shared" si="19"/>
        <v>Clean</v>
      </c>
      <c r="AI52" s="6" t="s">
        <v>602</v>
      </c>
      <c r="AJ52" s="6" t="s">
        <v>32</v>
      </c>
      <c r="AK52" s="6" t="s">
        <v>40</v>
      </c>
    </row>
    <row r="53" spans="1:37" ht="28">
      <c r="A53" s="6" t="str">
        <f t="shared" si="10"/>
        <v>DFW-2022</v>
      </c>
      <c r="B53" s="6" t="s">
        <v>36</v>
      </c>
      <c r="C53" s="6" t="s">
        <v>37</v>
      </c>
      <c r="D53" s="6" t="s">
        <v>38</v>
      </c>
      <c r="E53" s="6" t="s">
        <v>39</v>
      </c>
      <c r="F53" s="6" t="s">
        <v>31</v>
      </c>
      <c r="G53" s="11">
        <v>2022</v>
      </c>
      <c r="H53" s="9">
        <v>36057362</v>
      </c>
      <c r="I53" s="18">
        <v>977955000</v>
      </c>
      <c r="J53" s="41"/>
      <c r="K53" s="41"/>
      <c r="L53" s="18">
        <v>27667000</v>
      </c>
      <c r="M53" s="18">
        <v>24176000</v>
      </c>
      <c r="N53" s="18">
        <v>52908000</v>
      </c>
      <c r="O53" s="18">
        <v>195997000</v>
      </c>
      <c r="P53" s="41"/>
      <c r="Q53" s="18">
        <v>33495000</v>
      </c>
      <c r="R53" s="41"/>
      <c r="S53" s="41"/>
      <c r="T53" s="18">
        <v>612684000</v>
      </c>
      <c r="U53" s="18">
        <v>30681000</v>
      </c>
      <c r="V53" s="18">
        <v>496883000</v>
      </c>
      <c r="W53" s="18">
        <v>7491495000</v>
      </c>
      <c r="X53" s="18">
        <v>439592000</v>
      </c>
      <c r="Y53" s="18">
        <f t="shared" si="11"/>
        <v>334243000</v>
      </c>
      <c r="Z53" s="42">
        <f t="shared" si="12"/>
        <v>0.34177748464908919</v>
      </c>
      <c r="AA53" s="6" t="str">
        <f t="shared" si="13"/>
        <v>No</v>
      </c>
      <c r="AB53" s="6" t="str">
        <f t="shared" si="14"/>
        <v>No</v>
      </c>
      <c r="AC53" s="6" t="str">
        <f t="shared" si="15"/>
        <v>No</v>
      </c>
      <c r="AD53" s="6" t="str">
        <f t="shared" si="16"/>
        <v>No</v>
      </c>
      <c r="AE53" s="6" t="str">
        <f t="shared" si="17"/>
        <v>No</v>
      </c>
      <c r="AF53" s="6" t="s">
        <v>639</v>
      </c>
      <c r="AG53" s="6" t="str">
        <f t="shared" si="18"/>
        <v>Yes</v>
      </c>
      <c r="AH53" s="6" t="str">
        <f t="shared" si="19"/>
        <v>Clean</v>
      </c>
      <c r="AI53" s="6" t="s">
        <v>602</v>
      </c>
      <c r="AJ53" s="6" t="s">
        <v>32</v>
      </c>
      <c r="AK53" s="6" t="s">
        <v>40</v>
      </c>
    </row>
    <row r="54" spans="1:37" ht="28">
      <c r="A54" s="6" t="str">
        <f t="shared" si="10"/>
        <v>DFW-2023</v>
      </c>
      <c r="B54" s="6" t="s">
        <v>36</v>
      </c>
      <c r="C54" s="6" t="s">
        <v>37</v>
      </c>
      <c r="D54" s="6" t="s">
        <v>38</v>
      </c>
      <c r="E54" s="6" t="s">
        <v>39</v>
      </c>
      <c r="F54" s="6" t="s">
        <v>31</v>
      </c>
      <c r="G54" s="11">
        <v>2023</v>
      </c>
      <c r="H54" s="9">
        <v>39755000</v>
      </c>
      <c r="I54" s="18">
        <v>1070890000</v>
      </c>
      <c r="J54" s="41"/>
      <c r="K54" s="41"/>
      <c r="L54" s="18">
        <v>54072000</v>
      </c>
      <c r="M54" s="18">
        <v>23073000</v>
      </c>
      <c r="N54" s="18">
        <v>58416000</v>
      </c>
      <c r="O54" s="18">
        <v>224105000</v>
      </c>
      <c r="P54" s="41"/>
      <c r="Q54" s="18">
        <v>36309000</v>
      </c>
      <c r="R54" s="41"/>
      <c r="S54" s="41"/>
      <c r="T54" s="18">
        <v>696079000</v>
      </c>
      <c r="U54" s="18">
        <v>18478000</v>
      </c>
      <c r="V54" s="18">
        <v>601365000</v>
      </c>
      <c r="W54" s="18">
        <v>7476675000</v>
      </c>
      <c r="X54" s="18">
        <v>459427000</v>
      </c>
      <c r="Y54" s="18">
        <f t="shared" si="11"/>
        <v>395975000</v>
      </c>
      <c r="Z54" s="42">
        <f t="shared" si="12"/>
        <v>0.36976253396707409</v>
      </c>
      <c r="AA54" s="6" t="str">
        <f t="shared" si="13"/>
        <v>No</v>
      </c>
      <c r="AB54" s="6" t="str">
        <f t="shared" si="14"/>
        <v>No</v>
      </c>
      <c r="AC54" s="6" t="str">
        <f t="shared" si="15"/>
        <v>No</v>
      </c>
      <c r="AD54" s="6" t="str">
        <f t="shared" si="16"/>
        <v>No</v>
      </c>
      <c r="AE54" s="6" t="str">
        <f t="shared" si="17"/>
        <v>No</v>
      </c>
      <c r="AF54" s="6" t="s">
        <v>639</v>
      </c>
      <c r="AG54" s="6" t="str">
        <f t="shared" si="18"/>
        <v>Yes</v>
      </c>
      <c r="AH54" s="6" t="str">
        <f t="shared" si="19"/>
        <v>Clean</v>
      </c>
      <c r="AI54" s="6" t="s">
        <v>602</v>
      </c>
      <c r="AJ54" s="6" t="s">
        <v>32</v>
      </c>
      <c r="AK54" s="6" t="s">
        <v>40</v>
      </c>
    </row>
    <row r="55" spans="1:37" ht="28">
      <c r="A55" s="6" t="str">
        <f t="shared" si="10"/>
        <v>DFW-2024</v>
      </c>
      <c r="B55" s="6" t="s">
        <v>36</v>
      </c>
      <c r="C55" s="6" t="s">
        <v>37</v>
      </c>
      <c r="D55" s="6" t="s">
        <v>38</v>
      </c>
      <c r="E55" s="6" t="s">
        <v>39</v>
      </c>
      <c r="F55" s="6" t="s">
        <v>31</v>
      </c>
      <c r="G55" s="11">
        <v>2024</v>
      </c>
      <c r="H55" s="9">
        <v>43370826</v>
      </c>
      <c r="I55" s="18">
        <v>1248691000</v>
      </c>
      <c r="J55" s="41"/>
      <c r="K55" s="41"/>
      <c r="L55" s="18">
        <v>61356000</v>
      </c>
      <c r="M55" s="18">
        <v>26017000</v>
      </c>
      <c r="N55" s="18">
        <v>64571000</v>
      </c>
      <c r="O55" s="18">
        <v>251054000</v>
      </c>
      <c r="P55" s="41"/>
      <c r="Q55" s="18">
        <v>38715000</v>
      </c>
      <c r="R55" s="41"/>
      <c r="S55" s="41"/>
      <c r="T55" s="18">
        <v>755329000</v>
      </c>
      <c r="U55" s="18">
        <v>119158000</v>
      </c>
      <c r="V55" s="18">
        <v>1064961000</v>
      </c>
      <c r="W55" s="18">
        <v>7948300000</v>
      </c>
      <c r="X55" s="18">
        <v>582834000</v>
      </c>
      <c r="Y55" s="18">
        <f t="shared" si="11"/>
        <v>441713000</v>
      </c>
      <c r="Z55" s="42">
        <f t="shared" si="12"/>
        <v>0.35374083740493045</v>
      </c>
      <c r="AA55" s="6" t="str">
        <f t="shared" si="13"/>
        <v>No</v>
      </c>
      <c r="AB55" s="6" t="str">
        <f t="shared" si="14"/>
        <v>No</v>
      </c>
      <c r="AC55" s="6" t="str">
        <f t="shared" si="15"/>
        <v>No</v>
      </c>
      <c r="AD55" s="6" t="str">
        <f t="shared" si="16"/>
        <v>No</v>
      </c>
      <c r="AE55" s="6" t="str">
        <f t="shared" si="17"/>
        <v>No</v>
      </c>
      <c r="AF55" s="6" t="s">
        <v>639</v>
      </c>
      <c r="AG55" s="6" t="str">
        <f t="shared" si="18"/>
        <v>Yes</v>
      </c>
      <c r="AH55" s="6" t="str">
        <f t="shared" si="19"/>
        <v>Clean</v>
      </c>
      <c r="AI55" s="6" t="s">
        <v>602</v>
      </c>
      <c r="AJ55" s="6" t="s">
        <v>32</v>
      </c>
      <c r="AK55" s="6" t="s">
        <v>40</v>
      </c>
    </row>
    <row r="56" spans="1:37" ht="28">
      <c r="A56" s="6" t="str">
        <f t="shared" si="10"/>
        <v>DTW-2019</v>
      </c>
      <c r="B56" s="6" t="s">
        <v>96</v>
      </c>
      <c r="C56" s="6" t="s">
        <v>97</v>
      </c>
      <c r="D56" s="6" t="s">
        <v>98</v>
      </c>
      <c r="E56" s="6" t="s">
        <v>99</v>
      </c>
      <c r="F56" s="6" t="s">
        <v>31</v>
      </c>
      <c r="G56" s="11">
        <v>2019</v>
      </c>
      <c r="H56" s="9">
        <v>18121193</v>
      </c>
      <c r="I56" s="18">
        <v>400652000</v>
      </c>
      <c r="J56" s="41"/>
      <c r="K56" s="41"/>
      <c r="L56" s="18">
        <v>21178000</v>
      </c>
      <c r="M56" s="18">
        <v>14815000</v>
      </c>
      <c r="N56" s="18">
        <v>25867000</v>
      </c>
      <c r="O56" s="18">
        <v>98081000</v>
      </c>
      <c r="P56" s="41"/>
      <c r="Q56" s="18">
        <v>5677000</v>
      </c>
      <c r="R56" s="41"/>
      <c r="S56" s="41"/>
      <c r="T56" s="18">
        <v>265332000</v>
      </c>
      <c r="U56" s="18">
        <v>14647000</v>
      </c>
      <c r="V56" s="18">
        <v>196507000</v>
      </c>
      <c r="W56" s="18">
        <v>2288409000</v>
      </c>
      <c r="X56" s="18">
        <v>171156000</v>
      </c>
      <c r="Y56" s="18">
        <f t="shared" si="11"/>
        <v>165618000</v>
      </c>
      <c r="Z56" s="42">
        <f t="shared" si="12"/>
        <v>0.41337120493595442</v>
      </c>
      <c r="AA56" s="6" t="str">
        <f t="shared" si="13"/>
        <v>No</v>
      </c>
      <c r="AB56" s="6" t="str">
        <f t="shared" si="14"/>
        <v>No</v>
      </c>
      <c r="AC56" s="6" t="str">
        <f t="shared" si="15"/>
        <v>No</v>
      </c>
      <c r="AD56" s="6" t="str">
        <f t="shared" si="16"/>
        <v>No</v>
      </c>
      <c r="AE56" s="6" t="str">
        <f t="shared" si="17"/>
        <v>No</v>
      </c>
      <c r="AF56" s="6" t="s">
        <v>639</v>
      </c>
      <c r="AG56" s="6" t="str">
        <f t="shared" si="18"/>
        <v>Yes</v>
      </c>
      <c r="AH56" s="6" t="str">
        <f t="shared" si="19"/>
        <v>Clean</v>
      </c>
      <c r="AI56" s="6" t="s">
        <v>602</v>
      </c>
      <c r="AJ56" s="6" t="s">
        <v>32</v>
      </c>
      <c r="AK56" s="6" t="s">
        <v>100</v>
      </c>
    </row>
    <row r="57" spans="1:37" ht="28">
      <c r="A57" s="6" t="str">
        <f t="shared" si="10"/>
        <v>DTW-2020</v>
      </c>
      <c r="B57" s="6" t="s">
        <v>96</v>
      </c>
      <c r="C57" s="6" t="s">
        <v>97</v>
      </c>
      <c r="D57" s="6" t="s">
        <v>98</v>
      </c>
      <c r="E57" s="6" t="s">
        <v>99</v>
      </c>
      <c r="F57" s="6" t="s">
        <v>31</v>
      </c>
      <c r="G57" s="11">
        <v>2020</v>
      </c>
      <c r="H57" s="9">
        <v>7026591</v>
      </c>
      <c r="I57" s="18">
        <v>259358000</v>
      </c>
      <c r="J57" s="41"/>
      <c r="K57" s="41"/>
      <c r="L57" s="18">
        <v>10216000</v>
      </c>
      <c r="M57" s="18">
        <v>6872000</v>
      </c>
      <c r="N57" s="18">
        <v>11476000</v>
      </c>
      <c r="O57" s="18">
        <v>42428000</v>
      </c>
      <c r="P57" s="41"/>
      <c r="Q57" s="18">
        <v>3255000</v>
      </c>
      <c r="R57" s="41"/>
      <c r="S57" s="41"/>
      <c r="T57" s="18">
        <v>210777000</v>
      </c>
      <c r="U57" s="18">
        <v>-82485000</v>
      </c>
      <c r="V57" s="18">
        <v>117974000</v>
      </c>
      <c r="W57" s="18">
        <v>2075688000</v>
      </c>
      <c r="X57" s="18">
        <v>137326000</v>
      </c>
      <c r="Y57" s="18">
        <f t="shared" si="11"/>
        <v>74247000</v>
      </c>
      <c r="Z57" s="42">
        <f t="shared" si="12"/>
        <v>0.28627225688045094</v>
      </c>
      <c r="AA57" s="6" t="str">
        <f t="shared" si="13"/>
        <v>No</v>
      </c>
      <c r="AB57" s="6" t="str">
        <f t="shared" si="14"/>
        <v>No</v>
      </c>
      <c r="AC57" s="6" t="str">
        <f t="shared" si="15"/>
        <v>No</v>
      </c>
      <c r="AD57" s="6" t="str">
        <f t="shared" si="16"/>
        <v>Yes</v>
      </c>
      <c r="AE57" s="6" t="str">
        <f t="shared" si="17"/>
        <v>No</v>
      </c>
      <c r="AF57" s="6" t="s">
        <v>639</v>
      </c>
      <c r="AG57" s="6" t="str">
        <f t="shared" si="18"/>
        <v>Yes</v>
      </c>
      <c r="AH57" s="6" t="str">
        <f t="shared" si="19"/>
        <v>Clean</v>
      </c>
      <c r="AI57" s="6" t="s">
        <v>602</v>
      </c>
      <c r="AJ57" s="6" t="s">
        <v>32</v>
      </c>
      <c r="AK57" s="6" t="s">
        <v>100</v>
      </c>
    </row>
    <row r="58" spans="1:37" ht="28">
      <c r="A58" s="6" t="str">
        <f t="shared" si="10"/>
        <v>DTW-2021</v>
      </c>
      <c r="B58" s="6" t="s">
        <v>96</v>
      </c>
      <c r="C58" s="6" t="s">
        <v>97</v>
      </c>
      <c r="D58" s="6" t="s">
        <v>98</v>
      </c>
      <c r="E58" s="6" t="s">
        <v>99</v>
      </c>
      <c r="F58" s="6" t="s">
        <v>31</v>
      </c>
      <c r="G58" s="11">
        <v>2021</v>
      </c>
      <c r="H58" s="9">
        <v>11782602</v>
      </c>
      <c r="I58" s="18">
        <v>335784000</v>
      </c>
      <c r="J58" s="41"/>
      <c r="K58" s="41"/>
      <c r="L58" s="18">
        <v>14784000</v>
      </c>
      <c r="M58" s="18">
        <v>9200000</v>
      </c>
      <c r="N58" s="18">
        <v>21205000</v>
      </c>
      <c r="O58" s="18">
        <v>70370000</v>
      </c>
      <c r="P58" s="41"/>
      <c r="Q58" s="18">
        <v>2922000</v>
      </c>
      <c r="R58" s="41"/>
      <c r="S58" s="41"/>
      <c r="T58" s="18">
        <v>227090000</v>
      </c>
      <c r="U58" s="18">
        <v>-25494000</v>
      </c>
      <c r="V58" s="18">
        <v>55597000</v>
      </c>
      <c r="W58" s="18">
        <v>2162436000</v>
      </c>
      <c r="X58" s="18">
        <v>168823000</v>
      </c>
      <c r="Y58" s="18">
        <f t="shared" si="11"/>
        <v>118481000</v>
      </c>
      <c r="Z58" s="42">
        <f t="shared" si="12"/>
        <v>0.35284885521644865</v>
      </c>
      <c r="AA58" s="6" t="str">
        <f t="shared" si="13"/>
        <v>No</v>
      </c>
      <c r="AB58" s="6" t="str">
        <f t="shared" si="14"/>
        <v>No</v>
      </c>
      <c r="AC58" s="6" t="str">
        <f t="shared" si="15"/>
        <v>No</v>
      </c>
      <c r="AD58" s="6" t="str">
        <f t="shared" si="16"/>
        <v>Yes</v>
      </c>
      <c r="AE58" s="6" t="str">
        <f t="shared" si="17"/>
        <v>No</v>
      </c>
      <c r="AF58" s="6" t="s">
        <v>639</v>
      </c>
      <c r="AG58" s="6" t="str">
        <f t="shared" si="18"/>
        <v>Yes</v>
      </c>
      <c r="AH58" s="6" t="str">
        <f t="shared" si="19"/>
        <v>Clean</v>
      </c>
      <c r="AI58" s="6" t="s">
        <v>602</v>
      </c>
      <c r="AJ58" s="6" t="s">
        <v>32</v>
      </c>
      <c r="AK58" s="6" t="s">
        <v>100</v>
      </c>
    </row>
    <row r="59" spans="1:37" ht="28">
      <c r="A59" s="6" t="str">
        <f t="shared" si="10"/>
        <v>DTW-2022</v>
      </c>
      <c r="B59" s="6" t="s">
        <v>96</v>
      </c>
      <c r="C59" s="6" t="s">
        <v>97</v>
      </c>
      <c r="D59" s="6" t="s">
        <v>98</v>
      </c>
      <c r="E59" s="6" t="s">
        <v>99</v>
      </c>
      <c r="F59" s="6" t="s">
        <v>31</v>
      </c>
      <c r="G59" s="11">
        <v>2022</v>
      </c>
      <c r="H59" s="9">
        <v>14052931</v>
      </c>
      <c r="I59" s="18">
        <v>356154000</v>
      </c>
      <c r="J59" s="41"/>
      <c r="K59" s="41"/>
      <c r="L59" s="18">
        <v>17231000</v>
      </c>
      <c r="M59" s="18">
        <v>10544000</v>
      </c>
      <c r="N59" s="18">
        <v>25401000</v>
      </c>
      <c r="O59" s="18">
        <v>97996000</v>
      </c>
      <c r="P59" s="41"/>
      <c r="Q59" s="18">
        <v>3573000</v>
      </c>
      <c r="R59" s="41"/>
      <c r="S59" s="41"/>
      <c r="T59" s="18">
        <v>248905000</v>
      </c>
      <c r="U59" s="18">
        <v>-16557000</v>
      </c>
      <c r="V59" s="18">
        <v>80436000</v>
      </c>
      <c r="W59" s="18">
        <v>2050437000</v>
      </c>
      <c r="X59" s="18">
        <v>139237000</v>
      </c>
      <c r="Y59" s="18">
        <f t="shared" si="11"/>
        <v>154745000</v>
      </c>
      <c r="Z59" s="42">
        <f t="shared" si="12"/>
        <v>0.43448901317969191</v>
      </c>
      <c r="AA59" s="6" t="str">
        <f t="shared" si="13"/>
        <v>No</v>
      </c>
      <c r="AB59" s="6" t="str">
        <f t="shared" si="14"/>
        <v>No</v>
      </c>
      <c r="AC59" s="6" t="str">
        <f t="shared" si="15"/>
        <v>No</v>
      </c>
      <c r="AD59" s="6" t="str">
        <f t="shared" si="16"/>
        <v>Yes</v>
      </c>
      <c r="AE59" s="6" t="str">
        <f t="shared" si="17"/>
        <v>No</v>
      </c>
      <c r="AF59" s="6" t="s">
        <v>639</v>
      </c>
      <c r="AG59" s="6" t="str">
        <f t="shared" si="18"/>
        <v>Yes</v>
      </c>
      <c r="AH59" s="6" t="str">
        <f t="shared" si="19"/>
        <v>Clean</v>
      </c>
      <c r="AI59" s="6" t="s">
        <v>602</v>
      </c>
      <c r="AJ59" s="6" t="s">
        <v>32</v>
      </c>
      <c r="AK59" s="6" t="s">
        <v>100</v>
      </c>
    </row>
    <row r="60" spans="1:37" ht="28">
      <c r="A60" s="6" t="str">
        <f t="shared" si="10"/>
        <v>DTW-2023</v>
      </c>
      <c r="B60" s="6" t="s">
        <v>96</v>
      </c>
      <c r="C60" s="6" t="s">
        <v>97</v>
      </c>
      <c r="D60" s="6" t="s">
        <v>98</v>
      </c>
      <c r="E60" s="6" t="s">
        <v>99</v>
      </c>
      <c r="F60" s="6" t="s">
        <v>31</v>
      </c>
      <c r="G60" s="11">
        <v>2023</v>
      </c>
      <c r="H60" s="9">
        <v>15698444</v>
      </c>
      <c r="I60" s="18">
        <v>390399000</v>
      </c>
      <c r="J60" s="41"/>
      <c r="K60" s="41"/>
      <c r="L60" s="18">
        <v>21580000</v>
      </c>
      <c r="M60" s="18">
        <v>13295000</v>
      </c>
      <c r="N60" s="18">
        <v>29408000</v>
      </c>
      <c r="O60" s="18">
        <v>113413000</v>
      </c>
      <c r="P60" s="41"/>
      <c r="Q60" s="18">
        <v>4584000</v>
      </c>
      <c r="R60" s="41"/>
      <c r="S60" s="41"/>
      <c r="T60" s="18">
        <v>308998000</v>
      </c>
      <c r="U60" s="18">
        <v>-34705000</v>
      </c>
      <c r="V60" s="18">
        <v>168993000</v>
      </c>
      <c r="W60" s="18">
        <v>2129327000</v>
      </c>
      <c r="X60" s="18">
        <v>137875000</v>
      </c>
      <c r="Y60" s="18">
        <f t="shared" si="11"/>
        <v>182280000</v>
      </c>
      <c r="Z60" s="42">
        <f t="shared" si="12"/>
        <v>0.46690693367554731</v>
      </c>
      <c r="AA60" s="6" t="str">
        <f t="shared" si="13"/>
        <v>No</v>
      </c>
      <c r="AB60" s="6" t="str">
        <f t="shared" si="14"/>
        <v>No</v>
      </c>
      <c r="AC60" s="6" t="str">
        <f t="shared" si="15"/>
        <v>No</v>
      </c>
      <c r="AD60" s="6" t="str">
        <f t="shared" si="16"/>
        <v>Yes</v>
      </c>
      <c r="AE60" s="6" t="str">
        <f t="shared" si="17"/>
        <v>No</v>
      </c>
      <c r="AF60" s="6" t="s">
        <v>639</v>
      </c>
      <c r="AG60" s="6" t="str">
        <f t="shared" si="18"/>
        <v>Yes</v>
      </c>
      <c r="AH60" s="6" t="str">
        <f t="shared" si="19"/>
        <v>Clean</v>
      </c>
      <c r="AI60" s="6" t="s">
        <v>602</v>
      </c>
      <c r="AJ60" s="6" t="s">
        <v>32</v>
      </c>
      <c r="AK60" s="6" t="s">
        <v>100</v>
      </c>
    </row>
    <row r="61" spans="1:37" ht="28">
      <c r="A61" s="6" t="str">
        <f t="shared" si="10"/>
        <v>DTW-2024</v>
      </c>
      <c r="B61" s="6" t="s">
        <v>96</v>
      </c>
      <c r="C61" s="6" t="s">
        <v>97</v>
      </c>
      <c r="D61" s="6" t="s">
        <v>98</v>
      </c>
      <c r="E61" s="6" t="s">
        <v>99</v>
      </c>
      <c r="F61" s="6" t="s">
        <v>31</v>
      </c>
      <c r="G61" s="11">
        <v>2024</v>
      </c>
      <c r="H61" s="9">
        <v>16453913</v>
      </c>
      <c r="I61" s="18">
        <v>396377000</v>
      </c>
      <c r="J61" s="41"/>
      <c r="K61" s="41"/>
      <c r="L61" s="18">
        <v>15069000</v>
      </c>
      <c r="M61" s="18">
        <v>7816000</v>
      </c>
      <c r="N61" s="18">
        <v>30869000</v>
      </c>
      <c r="O61" s="18">
        <v>119603000</v>
      </c>
      <c r="P61" s="41"/>
      <c r="Q61" s="18">
        <v>4859000</v>
      </c>
      <c r="R61" s="41"/>
      <c r="S61" s="41"/>
      <c r="T61" s="18">
        <v>236232000</v>
      </c>
      <c r="U61" s="18">
        <v>41560000</v>
      </c>
      <c r="V61" s="18">
        <v>155222000</v>
      </c>
      <c r="W61" s="18">
        <v>1997805000</v>
      </c>
      <c r="X61" s="18">
        <v>146044000</v>
      </c>
      <c r="Y61" s="18">
        <f t="shared" si="11"/>
        <v>178216000</v>
      </c>
      <c r="Z61" s="42">
        <f t="shared" si="12"/>
        <v>0.44961236398681054</v>
      </c>
      <c r="AA61" s="6" t="str">
        <f t="shared" si="13"/>
        <v>No</v>
      </c>
      <c r="AB61" s="6" t="str">
        <f t="shared" si="14"/>
        <v>No</v>
      </c>
      <c r="AC61" s="6" t="str">
        <f t="shared" si="15"/>
        <v>No</v>
      </c>
      <c r="AD61" s="6" t="str">
        <f t="shared" si="16"/>
        <v>No</v>
      </c>
      <c r="AE61" s="6" t="str">
        <f t="shared" si="17"/>
        <v>No</v>
      </c>
      <c r="AF61" s="6" t="s">
        <v>639</v>
      </c>
      <c r="AG61" s="6" t="str">
        <f t="shared" si="18"/>
        <v>Yes</v>
      </c>
      <c r="AH61" s="6" t="str">
        <f t="shared" si="19"/>
        <v>Clean</v>
      </c>
      <c r="AI61" s="6" t="s">
        <v>602</v>
      </c>
      <c r="AJ61" s="6" t="s">
        <v>32</v>
      </c>
      <c r="AK61" s="6" t="s">
        <v>100</v>
      </c>
    </row>
    <row r="62" spans="1:37" ht="28">
      <c r="A62" s="6" t="str">
        <f t="shared" si="10"/>
        <v>EWR-2019</v>
      </c>
      <c r="B62" s="6" t="s">
        <v>164</v>
      </c>
      <c r="C62" s="6" t="s">
        <v>165</v>
      </c>
      <c r="D62" s="6" t="s">
        <v>166</v>
      </c>
      <c r="E62" s="6" t="s">
        <v>167</v>
      </c>
      <c r="F62" s="6" t="s">
        <v>31</v>
      </c>
      <c r="G62" s="11">
        <v>2019</v>
      </c>
      <c r="H62" s="9">
        <v>23168226</v>
      </c>
      <c r="I62" s="18">
        <v>1052070000</v>
      </c>
      <c r="J62" s="41"/>
      <c r="K62" s="41"/>
      <c r="L62" s="18">
        <v>6532000</v>
      </c>
      <c r="M62" s="18">
        <v>33853000</v>
      </c>
      <c r="N62" s="18">
        <v>41086000</v>
      </c>
      <c r="O62" s="18">
        <v>107437000</v>
      </c>
      <c r="P62" s="41"/>
      <c r="Q62" s="18">
        <v>1171000</v>
      </c>
      <c r="R62" s="41"/>
      <c r="S62" s="41"/>
      <c r="T62" s="18">
        <v>591802000</v>
      </c>
      <c r="U62" s="18">
        <v>311728000</v>
      </c>
      <c r="V62" s="18">
        <v>719703000</v>
      </c>
      <c r="W62" s="18"/>
      <c r="X62" s="18">
        <v>634915000</v>
      </c>
      <c r="Y62" s="18">
        <f t="shared" si="11"/>
        <v>190079000</v>
      </c>
      <c r="Z62" s="42">
        <f t="shared" si="12"/>
        <v>0.18067143821228626</v>
      </c>
      <c r="AA62" s="6" t="str">
        <f t="shared" si="13"/>
        <v>No</v>
      </c>
      <c r="AB62" s="6" t="str">
        <f t="shared" si="14"/>
        <v>No</v>
      </c>
      <c r="AC62" s="6" t="str">
        <f t="shared" si="15"/>
        <v>No</v>
      </c>
      <c r="AD62" s="6" t="str">
        <f t="shared" si="16"/>
        <v>No</v>
      </c>
      <c r="AE62" s="6" t="str">
        <f t="shared" si="17"/>
        <v>No</v>
      </c>
      <c r="AF62" s="6" t="s">
        <v>640</v>
      </c>
      <c r="AG62" s="6" t="str">
        <f t="shared" si="18"/>
        <v>Yes</v>
      </c>
      <c r="AH62" s="6" t="str">
        <f t="shared" si="19"/>
        <v>Clean</v>
      </c>
      <c r="AI62" s="6" t="s">
        <v>605</v>
      </c>
      <c r="AJ62" s="6" t="s">
        <v>32</v>
      </c>
      <c r="AK62" s="6" t="s">
        <v>168</v>
      </c>
    </row>
    <row r="63" spans="1:37" ht="28">
      <c r="A63" s="6" t="str">
        <f t="shared" si="10"/>
        <v>EWR-2020</v>
      </c>
      <c r="B63" s="6" t="s">
        <v>164</v>
      </c>
      <c r="C63" s="6" t="s">
        <v>165</v>
      </c>
      <c r="D63" s="6" t="s">
        <v>166</v>
      </c>
      <c r="E63" s="6" t="s">
        <v>167</v>
      </c>
      <c r="F63" s="6" t="s">
        <v>31</v>
      </c>
      <c r="G63" s="11">
        <v>2020</v>
      </c>
      <c r="H63" s="9">
        <v>7973879</v>
      </c>
      <c r="I63" s="18">
        <v>739600000</v>
      </c>
      <c r="J63" s="41"/>
      <c r="K63" s="41"/>
      <c r="L63" s="18">
        <v>962000</v>
      </c>
      <c r="M63" s="18">
        <v>9224000</v>
      </c>
      <c r="N63" s="18">
        <v>17527000</v>
      </c>
      <c r="O63" s="18">
        <v>39875000</v>
      </c>
      <c r="P63" s="41"/>
      <c r="Q63" s="18">
        <v>689000</v>
      </c>
      <c r="R63" s="41"/>
      <c r="S63" s="41"/>
      <c r="T63" s="18">
        <v>544024000</v>
      </c>
      <c r="U63" s="18">
        <v>43945000</v>
      </c>
      <c r="V63" s="18">
        <v>690772000</v>
      </c>
      <c r="W63" s="18"/>
      <c r="X63" s="18">
        <v>472747000</v>
      </c>
      <c r="Y63" s="18">
        <f t="shared" si="11"/>
        <v>68277000</v>
      </c>
      <c r="Z63" s="42">
        <f t="shared" si="12"/>
        <v>9.2316116819902649E-2</v>
      </c>
      <c r="AA63" s="6" t="str">
        <f t="shared" si="13"/>
        <v>No</v>
      </c>
      <c r="AB63" s="6" t="str">
        <f t="shared" si="14"/>
        <v>No</v>
      </c>
      <c r="AC63" s="6" t="str">
        <f t="shared" si="15"/>
        <v>No</v>
      </c>
      <c r="AD63" s="6" t="str">
        <f t="shared" si="16"/>
        <v>No</v>
      </c>
      <c r="AE63" s="6" t="str">
        <f t="shared" si="17"/>
        <v>No</v>
      </c>
      <c r="AF63" s="6" t="s">
        <v>640</v>
      </c>
      <c r="AG63" s="6" t="str">
        <f t="shared" si="18"/>
        <v>Yes</v>
      </c>
      <c r="AH63" s="6" t="str">
        <f t="shared" si="19"/>
        <v>Clean</v>
      </c>
      <c r="AI63" s="6" t="s">
        <v>605</v>
      </c>
      <c r="AJ63" s="6" t="s">
        <v>32</v>
      </c>
      <c r="AK63" s="6" t="s">
        <v>168</v>
      </c>
    </row>
    <row r="64" spans="1:37" ht="28">
      <c r="A64" s="6" t="str">
        <f t="shared" si="10"/>
        <v>EWR-2021</v>
      </c>
      <c r="B64" s="6" t="s">
        <v>164</v>
      </c>
      <c r="C64" s="6" t="s">
        <v>165</v>
      </c>
      <c r="D64" s="6" t="s">
        <v>166</v>
      </c>
      <c r="E64" s="6" t="s">
        <v>167</v>
      </c>
      <c r="F64" s="6" t="s">
        <v>31</v>
      </c>
      <c r="G64" s="11">
        <v>2021</v>
      </c>
      <c r="H64" s="9">
        <v>14472936</v>
      </c>
      <c r="I64" s="18">
        <v>976598000</v>
      </c>
      <c r="J64" s="41"/>
      <c r="K64" s="41"/>
      <c r="L64" s="18">
        <v>4614000</v>
      </c>
      <c r="M64" s="18">
        <v>12009000</v>
      </c>
      <c r="N64" s="18">
        <v>28383000</v>
      </c>
      <c r="O64" s="18">
        <v>91758000</v>
      </c>
      <c r="P64" s="41"/>
      <c r="Q64" s="18">
        <v>1121000</v>
      </c>
      <c r="R64" s="41"/>
      <c r="S64" s="41"/>
      <c r="T64" s="18">
        <v>531396000</v>
      </c>
      <c r="U64" s="18">
        <v>289823000</v>
      </c>
      <c r="V64" s="18">
        <v>654193000</v>
      </c>
      <c r="W64" s="18"/>
      <c r="X64" s="18">
        <v>634594000</v>
      </c>
      <c r="Y64" s="18">
        <f t="shared" si="11"/>
        <v>137885000</v>
      </c>
      <c r="Z64" s="42">
        <f t="shared" si="12"/>
        <v>0.14118910749356439</v>
      </c>
      <c r="AA64" s="6" t="str">
        <f t="shared" si="13"/>
        <v>No</v>
      </c>
      <c r="AB64" s="6" t="str">
        <f t="shared" si="14"/>
        <v>No</v>
      </c>
      <c r="AC64" s="6" t="str">
        <f t="shared" si="15"/>
        <v>No</v>
      </c>
      <c r="AD64" s="6" t="str">
        <f t="shared" si="16"/>
        <v>No</v>
      </c>
      <c r="AE64" s="6" t="str">
        <f t="shared" si="17"/>
        <v>No</v>
      </c>
      <c r="AF64" s="6" t="s">
        <v>640</v>
      </c>
      <c r="AG64" s="6" t="str">
        <f t="shared" si="18"/>
        <v>Yes</v>
      </c>
      <c r="AH64" s="6" t="str">
        <f t="shared" si="19"/>
        <v>Clean</v>
      </c>
      <c r="AI64" s="6" t="s">
        <v>605</v>
      </c>
      <c r="AJ64" s="6" t="s">
        <v>32</v>
      </c>
      <c r="AK64" s="6" t="s">
        <v>168</v>
      </c>
    </row>
    <row r="65" spans="1:37" ht="28">
      <c r="A65" s="6" t="str">
        <f t="shared" si="10"/>
        <v>EWR-2022</v>
      </c>
      <c r="B65" s="6" t="s">
        <v>164</v>
      </c>
      <c r="C65" s="6" t="s">
        <v>165</v>
      </c>
      <c r="D65" s="6" t="s">
        <v>166</v>
      </c>
      <c r="E65" s="6" t="s">
        <v>167</v>
      </c>
      <c r="F65" s="6" t="s">
        <v>31</v>
      </c>
      <c r="G65" s="11">
        <v>2022</v>
      </c>
      <c r="H65" s="9">
        <v>21796929</v>
      </c>
      <c r="I65" s="18">
        <v>1142687000</v>
      </c>
      <c r="J65" s="41"/>
      <c r="K65" s="41"/>
      <c r="L65" s="18">
        <v>6379000</v>
      </c>
      <c r="M65" s="18">
        <v>19635000</v>
      </c>
      <c r="N65" s="18">
        <v>44041000</v>
      </c>
      <c r="O65" s="18">
        <v>146273000</v>
      </c>
      <c r="P65" s="41"/>
      <c r="Q65" s="18">
        <v>1204000</v>
      </c>
      <c r="R65" s="41"/>
      <c r="S65" s="41"/>
      <c r="T65" s="18">
        <v>628688000</v>
      </c>
      <c r="U65" s="18">
        <v>340431000</v>
      </c>
      <c r="V65" s="18">
        <v>515522000</v>
      </c>
      <c r="W65" s="18"/>
      <c r="X65" s="18">
        <v>637335000</v>
      </c>
      <c r="Y65" s="18">
        <f t="shared" si="11"/>
        <v>217532000</v>
      </c>
      <c r="Z65" s="42">
        <f t="shared" si="12"/>
        <v>0.19036884116122788</v>
      </c>
      <c r="AA65" s="6" t="str">
        <f t="shared" si="13"/>
        <v>No</v>
      </c>
      <c r="AB65" s="6" t="str">
        <f t="shared" si="14"/>
        <v>No</v>
      </c>
      <c r="AC65" s="6" t="str">
        <f t="shared" si="15"/>
        <v>No</v>
      </c>
      <c r="AD65" s="6" t="str">
        <f t="shared" si="16"/>
        <v>No</v>
      </c>
      <c r="AE65" s="6" t="str">
        <f t="shared" si="17"/>
        <v>No</v>
      </c>
      <c r="AF65" s="6" t="s">
        <v>640</v>
      </c>
      <c r="AG65" s="6" t="str">
        <f t="shared" si="18"/>
        <v>Yes</v>
      </c>
      <c r="AH65" s="6" t="str">
        <f t="shared" si="19"/>
        <v>Clean</v>
      </c>
      <c r="AI65" s="6" t="s">
        <v>605</v>
      </c>
      <c r="AJ65" s="6" t="s">
        <v>32</v>
      </c>
      <c r="AK65" s="6" t="s">
        <v>168</v>
      </c>
    </row>
    <row r="66" spans="1:37" ht="28">
      <c r="A66" s="6" t="str">
        <f t="shared" ref="A66:A97" si="20">B66&amp;"-"&amp;G66</f>
        <v>EWR-2023</v>
      </c>
      <c r="B66" s="6" t="s">
        <v>164</v>
      </c>
      <c r="C66" s="6" t="s">
        <v>165</v>
      </c>
      <c r="D66" s="6" t="s">
        <v>166</v>
      </c>
      <c r="E66" s="6" t="s">
        <v>167</v>
      </c>
      <c r="F66" s="6" t="s">
        <v>31</v>
      </c>
      <c r="G66" s="11">
        <v>2023</v>
      </c>
      <c r="H66" s="9">
        <v>24556503</v>
      </c>
      <c r="I66" s="18">
        <v>1357187000</v>
      </c>
      <c r="J66" s="41"/>
      <c r="K66" s="41"/>
      <c r="L66" s="18">
        <v>22009000</v>
      </c>
      <c r="M66" s="18">
        <v>35905000</v>
      </c>
      <c r="N66" s="18">
        <v>51928000</v>
      </c>
      <c r="O66" s="18">
        <v>166997000</v>
      </c>
      <c r="P66" s="41"/>
      <c r="Q66" s="18">
        <v>1212000</v>
      </c>
      <c r="R66" s="41"/>
      <c r="S66" s="41"/>
      <c r="T66" s="18">
        <v>749584000</v>
      </c>
      <c r="U66" s="18">
        <v>367792000</v>
      </c>
      <c r="V66" s="18">
        <v>225818000</v>
      </c>
      <c r="W66" s="18"/>
      <c r="X66" s="18">
        <v>751529000</v>
      </c>
      <c r="Y66" s="18">
        <f t="shared" ref="Y66:Y97" si="21">SUM(L66:S66)</f>
        <v>278051000</v>
      </c>
      <c r="Z66" s="42">
        <f t="shared" ref="Z66:Z97" si="22">IFERROR(Y66/I66,0)</f>
        <v>0.20487302044596656</v>
      </c>
      <c r="AA66" s="6" t="str">
        <f t="shared" ref="AA66:AA97" si="23">IF(OR(H66="",I66="",T66="",U66=""),"Yes","No")</f>
        <v>No</v>
      </c>
      <c r="AB66" s="6" t="str">
        <f t="shared" ref="AB66:AB97" si="24">IF(OR(AND(L66&lt;&gt;"",L66=0),AND(M66&lt;&gt;"",M66=0),AND(N66&lt;&gt;"",N66=0),AND(O66&lt;&gt;"",O66=0),AND(Q66&lt;&gt;"",Q66=0)),"Yes","No")</f>
        <v>No</v>
      </c>
      <c r="AC66" s="6" t="str">
        <f t="shared" ref="AC66:AC97" si="25">IF(MIN(L66:O66,Q66)&lt;0,"Yes","No")</f>
        <v>No</v>
      </c>
      <c r="AD66" s="6" t="str">
        <f t="shared" ref="AD66:AD97" si="26">IF(U66&lt;0,"Yes","No")</f>
        <v>No</v>
      </c>
      <c r="AE66" s="6" t="str">
        <f t="shared" ref="AE66:AE97" si="27">IF(COUNTIFS($B$2:$B$187,B66,$G$2:$G$187,G66)&gt;1,"Yes","No")</f>
        <v>No</v>
      </c>
      <c r="AF66" s="6" t="s">
        <v>640</v>
      </c>
      <c r="AG66" s="6" t="str">
        <f t="shared" ref="AG66:AG97" si="28">IF(OR(J66="",K66="",P66="",R66="",S66=""),"Yes","No")</f>
        <v>Yes</v>
      </c>
      <c r="AH66" s="6" t="str">
        <f t="shared" ref="AH66:AH97" si="29">IF(OR(AA66="Yes",AE66="Yes"),"Review - Core/Duplicate",IF(OR(AB66="Yes",AC66="Yes"),"Clean - Flagged","Clean"))</f>
        <v>Clean</v>
      </c>
      <c r="AI66" s="6" t="s">
        <v>605</v>
      </c>
      <c r="AJ66" s="6" t="s">
        <v>32</v>
      </c>
      <c r="AK66" s="6" t="s">
        <v>168</v>
      </c>
    </row>
    <row r="67" spans="1:37" ht="28">
      <c r="A67" s="6" t="str">
        <f t="shared" si="20"/>
        <v>EWR-2024</v>
      </c>
      <c r="B67" s="6" t="s">
        <v>164</v>
      </c>
      <c r="C67" s="6" t="s">
        <v>165</v>
      </c>
      <c r="D67" s="6" t="s">
        <v>166</v>
      </c>
      <c r="E67" s="6" t="s">
        <v>167</v>
      </c>
      <c r="F67" s="6" t="s">
        <v>31</v>
      </c>
      <c r="G67" s="11">
        <v>2024</v>
      </c>
      <c r="H67" s="9">
        <v>24426685</v>
      </c>
      <c r="I67" s="18">
        <v>1391598000</v>
      </c>
      <c r="J67" s="41"/>
      <c r="K67" s="41"/>
      <c r="L67" s="18">
        <v>24876000</v>
      </c>
      <c r="M67" s="18">
        <v>46193000</v>
      </c>
      <c r="N67" s="18">
        <v>57221000</v>
      </c>
      <c r="O67" s="18">
        <v>159208000</v>
      </c>
      <c r="P67" s="41"/>
      <c r="Q67" s="18">
        <v>1217000</v>
      </c>
      <c r="R67" s="41"/>
      <c r="S67" s="41"/>
      <c r="T67" s="18">
        <v>785968000</v>
      </c>
      <c r="U67" s="18">
        <v>364605000</v>
      </c>
      <c r="V67" s="18">
        <v>429118000</v>
      </c>
      <c r="W67" s="18"/>
      <c r="X67" s="18">
        <v>773528000</v>
      </c>
      <c r="Y67" s="18">
        <f t="shared" si="21"/>
        <v>288715000</v>
      </c>
      <c r="Z67" s="42">
        <f t="shared" si="22"/>
        <v>0.20747011708841204</v>
      </c>
      <c r="AA67" s="6" t="str">
        <f t="shared" si="23"/>
        <v>No</v>
      </c>
      <c r="AB67" s="6" t="str">
        <f t="shared" si="24"/>
        <v>No</v>
      </c>
      <c r="AC67" s="6" t="str">
        <f t="shared" si="25"/>
        <v>No</v>
      </c>
      <c r="AD67" s="6" t="str">
        <f t="shared" si="26"/>
        <v>No</v>
      </c>
      <c r="AE67" s="6" t="str">
        <f t="shared" si="27"/>
        <v>No</v>
      </c>
      <c r="AF67" s="6" t="s">
        <v>640</v>
      </c>
      <c r="AG67" s="6" t="str">
        <f t="shared" si="28"/>
        <v>Yes</v>
      </c>
      <c r="AH67" s="6" t="str">
        <f t="shared" si="29"/>
        <v>Clean</v>
      </c>
      <c r="AI67" s="6" t="s">
        <v>605</v>
      </c>
      <c r="AJ67" s="6" t="s">
        <v>32</v>
      </c>
      <c r="AK67" s="6" t="s">
        <v>168</v>
      </c>
    </row>
    <row r="68" spans="1:37" ht="28">
      <c r="A68" s="6" t="str">
        <f t="shared" si="20"/>
        <v>FLL-2019</v>
      </c>
      <c r="B68" s="6" t="s">
        <v>106</v>
      </c>
      <c r="C68" s="6" t="s">
        <v>107</v>
      </c>
      <c r="D68" s="6" t="s">
        <v>108</v>
      </c>
      <c r="E68" s="6" t="s">
        <v>82</v>
      </c>
      <c r="F68" s="6" t="s">
        <v>31</v>
      </c>
      <c r="G68" s="11">
        <v>2019</v>
      </c>
      <c r="H68" s="9">
        <v>18164427</v>
      </c>
      <c r="I68" s="18">
        <v>306141000</v>
      </c>
      <c r="J68" s="41"/>
      <c r="K68" s="41"/>
      <c r="L68" s="18">
        <v>21037000</v>
      </c>
      <c r="M68" s="18">
        <v>10968000</v>
      </c>
      <c r="N68" s="18">
        <v>33001000</v>
      </c>
      <c r="O68" s="18">
        <v>61565000</v>
      </c>
      <c r="P68" s="41"/>
      <c r="Q68" s="18">
        <v>5046000</v>
      </c>
      <c r="R68" s="41"/>
      <c r="S68" s="41"/>
      <c r="T68" s="18">
        <v>196692000</v>
      </c>
      <c r="U68" s="18">
        <v>-16623000</v>
      </c>
      <c r="V68" s="18">
        <v>202862000</v>
      </c>
      <c r="W68" s="18">
        <v>2027095000</v>
      </c>
      <c r="X68" s="18">
        <v>125087000</v>
      </c>
      <c r="Y68" s="18">
        <f t="shared" si="21"/>
        <v>131617000</v>
      </c>
      <c r="Z68" s="42">
        <f t="shared" si="22"/>
        <v>0.42992281334417803</v>
      </c>
      <c r="AA68" s="6" t="str">
        <f t="shared" si="23"/>
        <v>No</v>
      </c>
      <c r="AB68" s="6" t="str">
        <f t="shared" si="24"/>
        <v>No</v>
      </c>
      <c r="AC68" s="6" t="str">
        <f t="shared" si="25"/>
        <v>No</v>
      </c>
      <c r="AD68" s="6" t="str">
        <f t="shared" si="26"/>
        <v>Yes</v>
      </c>
      <c r="AE68" s="6" t="str">
        <f t="shared" si="27"/>
        <v>No</v>
      </c>
      <c r="AF68" s="6" t="s">
        <v>639</v>
      </c>
      <c r="AG68" s="6" t="str">
        <f t="shared" si="28"/>
        <v>Yes</v>
      </c>
      <c r="AH68" s="6" t="str">
        <f t="shared" si="29"/>
        <v>Clean</v>
      </c>
      <c r="AI68" s="6" t="s">
        <v>602</v>
      </c>
      <c r="AJ68" s="6" t="s">
        <v>32</v>
      </c>
      <c r="AK68" s="6" t="s">
        <v>109</v>
      </c>
    </row>
    <row r="69" spans="1:37" ht="28">
      <c r="A69" s="6" t="str">
        <f t="shared" si="20"/>
        <v>FLL-2020</v>
      </c>
      <c r="B69" s="6" t="s">
        <v>106</v>
      </c>
      <c r="C69" s="6" t="s">
        <v>107</v>
      </c>
      <c r="D69" s="6" t="s">
        <v>108</v>
      </c>
      <c r="E69" s="6" t="s">
        <v>82</v>
      </c>
      <c r="F69" s="6" t="s">
        <v>31</v>
      </c>
      <c r="G69" s="11">
        <v>2020</v>
      </c>
      <c r="H69" s="9">
        <v>10683612</v>
      </c>
      <c r="I69" s="18">
        <v>342576000</v>
      </c>
      <c r="J69" s="41"/>
      <c r="K69" s="41"/>
      <c r="L69" s="18">
        <v>11330000</v>
      </c>
      <c r="M69" s="18">
        <v>6856000</v>
      </c>
      <c r="N69" s="18">
        <v>27851000</v>
      </c>
      <c r="O69" s="18">
        <v>33614000</v>
      </c>
      <c r="P69" s="41"/>
      <c r="Q69" s="18">
        <v>4193000</v>
      </c>
      <c r="R69" s="41"/>
      <c r="S69" s="41"/>
      <c r="T69" s="18">
        <v>171342000</v>
      </c>
      <c r="U69" s="18">
        <v>46989000</v>
      </c>
      <c r="V69" s="18">
        <v>231314000</v>
      </c>
      <c r="W69" s="18">
        <v>2458865000</v>
      </c>
      <c r="X69" s="18">
        <v>115117000</v>
      </c>
      <c r="Y69" s="18">
        <f t="shared" si="21"/>
        <v>83844000</v>
      </c>
      <c r="Z69" s="42">
        <f t="shared" si="22"/>
        <v>0.24474569146700295</v>
      </c>
      <c r="AA69" s="6" t="str">
        <f t="shared" si="23"/>
        <v>No</v>
      </c>
      <c r="AB69" s="6" t="str">
        <f t="shared" si="24"/>
        <v>No</v>
      </c>
      <c r="AC69" s="6" t="str">
        <f t="shared" si="25"/>
        <v>No</v>
      </c>
      <c r="AD69" s="6" t="str">
        <f t="shared" si="26"/>
        <v>No</v>
      </c>
      <c r="AE69" s="6" t="str">
        <f t="shared" si="27"/>
        <v>No</v>
      </c>
      <c r="AF69" s="6" t="s">
        <v>639</v>
      </c>
      <c r="AG69" s="6" t="str">
        <f t="shared" si="28"/>
        <v>Yes</v>
      </c>
      <c r="AH69" s="6" t="str">
        <f t="shared" si="29"/>
        <v>Clean</v>
      </c>
      <c r="AI69" s="6" t="s">
        <v>602</v>
      </c>
      <c r="AJ69" s="6" t="s">
        <v>32</v>
      </c>
      <c r="AK69" s="6" t="s">
        <v>109</v>
      </c>
    </row>
    <row r="70" spans="1:37" ht="28">
      <c r="A70" s="6" t="str">
        <f t="shared" si="20"/>
        <v>FLL-2021</v>
      </c>
      <c r="B70" s="6" t="s">
        <v>106</v>
      </c>
      <c r="C70" s="6" t="s">
        <v>107</v>
      </c>
      <c r="D70" s="6" t="s">
        <v>108</v>
      </c>
      <c r="E70" s="6" t="s">
        <v>82</v>
      </c>
      <c r="F70" s="6" t="s">
        <v>31</v>
      </c>
      <c r="G70" s="11">
        <v>2021</v>
      </c>
      <c r="H70" s="9">
        <v>12482905</v>
      </c>
      <c r="I70" s="18">
        <v>295199000</v>
      </c>
      <c r="J70" s="41"/>
      <c r="K70" s="41"/>
      <c r="L70" s="18">
        <v>13658000</v>
      </c>
      <c r="M70" s="18">
        <v>9838000</v>
      </c>
      <c r="N70" s="18">
        <v>39448000</v>
      </c>
      <c r="O70" s="18">
        <v>39417000</v>
      </c>
      <c r="P70" s="41"/>
      <c r="Q70" s="18">
        <v>5524000</v>
      </c>
      <c r="R70" s="41"/>
      <c r="S70" s="41"/>
      <c r="T70" s="18">
        <v>159830000</v>
      </c>
      <c r="U70" s="18">
        <v>3589000</v>
      </c>
      <c r="V70" s="18">
        <v>152635000</v>
      </c>
      <c r="W70" s="18">
        <v>2374770000</v>
      </c>
      <c r="X70" s="18">
        <v>136806000</v>
      </c>
      <c r="Y70" s="18">
        <f t="shared" si="21"/>
        <v>107885000</v>
      </c>
      <c r="Z70" s="42">
        <f t="shared" si="22"/>
        <v>0.36546533016710764</v>
      </c>
      <c r="AA70" s="6" t="str">
        <f t="shared" si="23"/>
        <v>No</v>
      </c>
      <c r="AB70" s="6" t="str">
        <f t="shared" si="24"/>
        <v>No</v>
      </c>
      <c r="AC70" s="6" t="str">
        <f t="shared" si="25"/>
        <v>No</v>
      </c>
      <c r="AD70" s="6" t="str">
        <f t="shared" si="26"/>
        <v>No</v>
      </c>
      <c r="AE70" s="6" t="str">
        <f t="shared" si="27"/>
        <v>No</v>
      </c>
      <c r="AF70" s="6" t="s">
        <v>639</v>
      </c>
      <c r="AG70" s="6" t="str">
        <f t="shared" si="28"/>
        <v>Yes</v>
      </c>
      <c r="AH70" s="6" t="str">
        <f t="shared" si="29"/>
        <v>Clean</v>
      </c>
      <c r="AI70" s="6" t="s">
        <v>602</v>
      </c>
      <c r="AJ70" s="6" t="s">
        <v>32</v>
      </c>
      <c r="AK70" s="6" t="s">
        <v>109</v>
      </c>
    </row>
    <row r="71" spans="1:37" ht="28">
      <c r="A71" s="6" t="str">
        <f t="shared" si="20"/>
        <v>FLL-2022</v>
      </c>
      <c r="B71" s="6" t="s">
        <v>106</v>
      </c>
      <c r="C71" s="6" t="s">
        <v>107</v>
      </c>
      <c r="D71" s="6" t="s">
        <v>108</v>
      </c>
      <c r="E71" s="6" t="s">
        <v>82</v>
      </c>
      <c r="F71" s="6" t="s">
        <v>31</v>
      </c>
      <c r="G71" s="11">
        <v>2022</v>
      </c>
      <c r="H71" s="9">
        <v>15397295</v>
      </c>
      <c r="I71" s="18">
        <v>313834000</v>
      </c>
      <c r="J71" s="41"/>
      <c r="K71" s="41"/>
      <c r="L71" s="18">
        <v>12168000</v>
      </c>
      <c r="M71" s="18">
        <v>6127000</v>
      </c>
      <c r="N71" s="18">
        <v>43914000</v>
      </c>
      <c r="O71" s="18">
        <v>61899000</v>
      </c>
      <c r="P71" s="41"/>
      <c r="Q71" s="18">
        <v>4008000</v>
      </c>
      <c r="R71" s="41"/>
      <c r="S71" s="41"/>
      <c r="T71" s="18">
        <v>216975000</v>
      </c>
      <c r="U71" s="18">
        <v>-41397000</v>
      </c>
      <c r="V71" s="18">
        <v>80688000</v>
      </c>
      <c r="W71" s="18">
        <v>2284115000</v>
      </c>
      <c r="X71" s="18">
        <v>123494000</v>
      </c>
      <c r="Y71" s="18">
        <f t="shared" si="21"/>
        <v>128116000</v>
      </c>
      <c r="Z71" s="42">
        <f t="shared" si="22"/>
        <v>0.40822855394890295</v>
      </c>
      <c r="AA71" s="6" t="str">
        <f t="shared" si="23"/>
        <v>No</v>
      </c>
      <c r="AB71" s="6" t="str">
        <f t="shared" si="24"/>
        <v>No</v>
      </c>
      <c r="AC71" s="6" t="str">
        <f t="shared" si="25"/>
        <v>No</v>
      </c>
      <c r="AD71" s="6" t="str">
        <f t="shared" si="26"/>
        <v>Yes</v>
      </c>
      <c r="AE71" s="6" t="str">
        <f t="shared" si="27"/>
        <v>No</v>
      </c>
      <c r="AF71" s="6" t="s">
        <v>639</v>
      </c>
      <c r="AG71" s="6" t="str">
        <f t="shared" si="28"/>
        <v>Yes</v>
      </c>
      <c r="AH71" s="6" t="str">
        <f t="shared" si="29"/>
        <v>Clean</v>
      </c>
      <c r="AI71" s="6" t="s">
        <v>602</v>
      </c>
      <c r="AJ71" s="6" t="s">
        <v>32</v>
      </c>
      <c r="AK71" s="6" t="s">
        <v>109</v>
      </c>
    </row>
    <row r="72" spans="1:37" ht="28">
      <c r="A72" s="6" t="str">
        <f t="shared" si="20"/>
        <v>FLL-2023</v>
      </c>
      <c r="B72" s="6" t="s">
        <v>106</v>
      </c>
      <c r="C72" s="6" t="s">
        <v>107</v>
      </c>
      <c r="D72" s="6" t="s">
        <v>108</v>
      </c>
      <c r="E72" s="6" t="s">
        <v>82</v>
      </c>
      <c r="F72" s="6" t="s">
        <v>31</v>
      </c>
      <c r="G72" s="11">
        <v>2023</v>
      </c>
      <c r="H72" s="9">
        <v>17116674</v>
      </c>
      <c r="I72" s="18">
        <v>304708000</v>
      </c>
      <c r="J72" s="41"/>
      <c r="K72" s="41"/>
      <c r="L72" s="18">
        <v>18450000</v>
      </c>
      <c r="M72" s="18">
        <v>12968000</v>
      </c>
      <c r="N72" s="18">
        <v>43418000</v>
      </c>
      <c r="O72" s="18">
        <v>70528000</v>
      </c>
      <c r="P72" s="41"/>
      <c r="Q72" s="18">
        <v>3144000</v>
      </c>
      <c r="R72" s="41"/>
      <c r="S72" s="41"/>
      <c r="T72" s="18">
        <v>259352000</v>
      </c>
      <c r="U72" s="18">
        <v>-115552000</v>
      </c>
      <c r="V72" s="18">
        <v>59746000</v>
      </c>
      <c r="W72" s="18">
        <v>2188870000</v>
      </c>
      <c r="X72" s="18">
        <v>125695000</v>
      </c>
      <c r="Y72" s="18">
        <f t="shared" si="21"/>
        <v>148508000</v>
      </c>
      <c r="Z72" s="42">
        <f t="shared" si="22"/>
        <v>0.48737807999789962</v>
      </c>
      <c r="AA72" s="6" t="str">
        <f t="shared" si="23"/>
        <v>No</v>
      </c>
      <c r="AB72" s="6" t="str">
        <f t="shared" si="24"/>
        <v>No</v>
      </c>
      <c r="AC72" s="6" t="str">
        <f t="shared" si="25"/>
        <v>No</v>
      </c>
      <c r="AD72" s="6" t="str">
        <f t="shared" si="26"/>
        <v>Yes</v>
      </c>
      <c r="AE72" s="6" t="str">
        <f t="shared" si="27"/>
        <v>No</v>
      </c>
      <c r="AF72" s="6" t="s">
        <v>639</v>
      </c>
      <c r="AG72" s="6" t="str">
        <f t="shared" si="28"/>
        <v>Yes</v>
      </c>
      <c r="AH72" s="6" t="str">
        <f t="shared" si="29"/>
        <v>Clean</v>
      </c>
      <c r="AI72" s="6" t="s">
        <v>602</v>
      </c>
      <c r="AJ72" s="6" t="s">
        <v>32</v>
      </c>
      <c r="AK72" s="6" t="s">
        <v>109</v>
      </c>
    </row>
    <row r="73" spans="1:37" ht="28">
      <c r="A73" s="6" t="str">
        <f t="shared" si="20"/>
        <v>FLL-2024</v>
      </c>
      <c r="B73" s="6" t="s">
        <v>106</v>
      </c>
      <c r="C73" s="6" t="s">
        <v>107</v>
      </c>
      <c r="D73" s="6" t="s">
        <v>108</v>
      </c>
      <c r="E73" s="6" t="s">
        <v>82</v>
      </c>
      <c r="F73" s="6" t="s">
        <v>31</v>
      </c>
      <c r="G73" s="11">
        <v>2024</v>
      </c>
      <c r="H73" s="9">
        <v>17741898</v>
      </c>
      <c r="I73" s="18">
        <v>340946000</v>
      </c>
      <c r="J73" s="41"/>
      <c r="K73" s="41"/>
      <c r="L73" s="18">
        <v>24024000</v>
      </c>
      <c r="M73" s="18">
        <v>14342000</v>
      </c>
      <c r="N73" s="18">
        <v>43438000</v>
      </c>
      <c r="O73" s="18">
        <v>71933000</v>
      </c>
      <c r="P73" s="41"/>
      <c r="Q73" s="18">
        <v>5688000</v>
      </c>
      <c r="R73" s="41"/>
      <c r="S73" s="41"/>
      <c r="T73" s="18">
        <v>282626000</v>
      </c>
      <c r="U73" s="18">
        <v>-98661000</v>
      </c>
      <c r="V73" s="18">
        <v>114086000</v>
      </c>
      <c r="W73" s="18">
        <v>2089210000</v>
      </c>
      <c r="X73" s="18">
        <v>181053000</v>
      </c>
      <c r="Y73" s="18">
        <f t="shared" si="21"/>
        <v>159425000</v>
      </c>
      <c r="Z73" s="42">
        <f t="shared" si="22"/>
        <v>0.46759604160189588</v>
      </c>
      <c r="AA73" s="6" t="str">
        <f t="shared" si="23"/>
        <v>No</v>
      </c>
      <c r="AB73" s="6" t="str">
        <f t="shared" si="24"/>
        <v>No</v>
      </c>
      <c r="AC73" s="6" t="str">
        <f t="shared" si="25"/>
        <v>No</v>
      </c>
      <c r="AD73" s="6" t="str">
        <f t="shared" si="26"/>
        <v>Yes</v>
      </c>
      <c r="AE73" s="6" t="str">
        <f t="shared" si="27"/>
        <v>No</v>
      </c>
      <c r="AF73" s="6" t="s">
        <v>639</v>
      </c>
      <c r="AG73" s="6" t="str">
        <f t="shared" si="28"/>
        <v>Yes</v>
      </c>
      <c r="AH73" s="6" t="str">
        <f t="shared" si="29"/>
        <v>Clean</v>
      </c>
      <c r="AI73" s="6" t="s">
        <v>602</v>
      </c>
      <c r="AJ73" s="6" t="s">
        <v>32</v>
      </c>
      <c r="AK73" s="6" t="s">
        <v>109</v>
      </c>
    </row>
    <row r="74" spans="1:37" ht="28">
      <c r="A74" s="6" t="str">
        <f t="shared" si="20"/>
        <v>HNL-2019</v>
      </c>
      <c r="B74" s="6" t="s">
        <v>183</v>
      </c>
      <c r="C74" s="6" t="s">
        <v>184</v>
      </c>
      <c r="D74" s="6" t="s">
        <v>185</v>
      </c>
      <c r="E74" s="6" t="s">
        <v>186</v>
      </c>
      <c r="F74" s="6" t="s">
        <v>31</v>
      </c>
      <c r="G74" s="11">
        <v>2019</v>
      </c>
      <c r="H74" s="9">
        <v>10484451</v>
      </c>
      <c r="I74" s="18">
        <v>290422000</v>
      </c>
      <c r="J74" s="41"/>
      <c r="K74" s="41"/>
      <c r="L74" s="18">
        <v>7138000</v>
      </c>
      <c r="M74" s="18">
        <v>11975000</v>
      </c>
      <c r="N74" s="18">
        <v>18276000</v>
      </c>
      <c r="O74" s="18">
        <v>17788000</v>
      </c>
      <c r="P74" s="41"/>
      <c r="Q74" s="18">
        <v>5471000</v>
      </c>
      <c r="R74" s="41"/>
      <c r="S74" s="41"/>
      <c r="T74" s="18">
        <v>188802000</v>
      </c>
      <c r="U74" s="18">
        <v>36664000</v>
      </c>
      <c r="V74" s="18">
        <v>334076000</v>
      </c>
      <c r="W74" s="18">
        <v>2553500000</v>
      </c>
      <c r="X74" s="18">
        <v>135438000</v>
      </c>
      <c r="Y74" s="18">
        <f t="shared" si="21"/>
        <v>60648000</v>
      </c>
      <c r="Z74" s="42">
        <f t="shared" si="22"/>
        <v>0.20882715496759888</v>
      </c>
      <c r="AA74" s="6" t="str">
        <f t="shared" si="23"/>
        <v>No</v>
      </c>
      <c r="AB74" s="6" t="str">
        <f t="shared" si="24"/>
        <v>No</v>
      </c>
      <c r="AC74" s="6" t="str">
        <f t="shared" si="25"/>
        <v>No</v>
      </c>
      <c r="AD74" s="6" t="str">
        <f t="shared" si="26"/>
        <v>No</v>
      </c>
      <c r="AE74" s="6" t="str">
        <f t="shared" si="27"/>
        <v>No</v>
      </c>
      <c r="AF74" s="6" t="s">
        <v>640</v>
      </c>
      <c r="AG74" s="6" t="str">
        <f t="shared" si="28"/>
        <v>Yes</v>
      </c>
      <c r="AH74" s="6" t="str">
        <f t="shared" si="29"/>
        <v>Clean</v>
      </c>
      <c r="AI74" s="6" t="s">
        <v>607</v>
      </c>
      <c r="AJ74" s="6" t="s">
        <v>32</v>
      </c>
      <c r="AK74" s="6" t="s">
        <v>187</v>
      </c>
    </row>
    <row r="75" spans="1:37" ht="28">
      <c r="A75" s="6" t="str">
        <f t="shared" si="20"/>
        <v>HNL-2020</v>
      </c>
      <c r="B75" s="6" t="s">
        <v>183</v>
      </c>
      <c r="C75" s="6" t="s">
        <v>184</v>
      </c>
      <c r="D75" s="6" t="s">
        <v>185</v>
      </c>
      <c r="E75" s="6" t="s">
        <v>186</v>
      </c>
      <c r="F75" s="6" t="s">
        <v>31</v>
      </c>
      <c r="G75" s="11">
        <v>2020</v>
      </c>
      <c r="H75" s="9">
        <v>7981984</v>
      </c>
      <c r="I75" s="18">
        <v>250691000</v>
      </c>
      <c r="J75" s="41"/>
      <c r="K75" s="41"/>
      <c r="L75" s="18">
        <v>5417000</v>
      </c>
      <c r="M75" s="18">
        <v>8864000</v>
      </c>
      <c r="N75" s="18">
        <v>14318000</v>
      </c>
      <c r="O75" s="18">
        <v>14529000</v>
      </c>
      <c r="P75" s="41"/>
      <c r="Q75" s="18">
        <v>5294000</v>
      </c>
      <c r="R75" s="41"/>
      <c r="S75" s="41"/>
      <c r="T75" s="18">
        <v>194207000</v>
      </c>
      <c r="U75" s="18">
        <v>-15252000</v>
      </c>
      <c r="V75" s="18">
        <v>281475000</v>
      </c>
      <c r="W75" s="18">
        <v>2596230000</v>
      </c>
      <c r="X75" s="18">
        <v>122104000</v>
      </c>
      <c r="Y75" s="18">
        <f t="shared" si="21"/>
        <v>48422000</v>
      </c>
      <c r="Z75" s="42">
        <f t="shared" si="22"/>
        <v>0.19315412200677329</v>
      </c>
      <c r="AA75" s="6" t="str">
        <f t="shared" si="23"/>
        <v>No</v>
      </c>
      <c r="AB75" s="6" t="str">
        <f t="shared" si="24"/>
        <v>No</v>
      </c>
      <c r="AC75" s="6" t="str">
        <f t="shared" si="25"/>
        <v>No</v>
      </c>
      <c r="AD75" s="6" t="str">
        <f t="shared" si="26"/>
        <v>Yes</v>
      </c>
      <c r="AE75" s="6" t="str">
        <f t="shared" si="27"/>
        <v>No</v>
      </c>
      <c r="AF75" s="6" t="s">
        <v>640</v>
      </c>
      <c r="AG75" s="6" t="str">
        <f t="shared" si="28"/>
        <v>Yes</v>
      </c>
      <c r="AH75" s="6" t="str">
        <f t="shared" si="29"/>
        <v>Clean</v>
      </c>
      <c r="AI75" s="6" t="s">
        <v>607</v>
      </c>
      <c r="AJ75" s="6" t="s">
        <v>32</v>
      </c>
      <c r="AK75" s="6" t="s">
        <v>187</v>
      </c>
    </row>
    <row r="76" spans="1:37" ht="28">
      <c r="A76" s="6" t="str">
        <f t="shared" si="20"/>
        <v>HNL-2021</v>
      </c>
      <c r="B76" s="6" t="s">
        <v>183</v>
      </c>
      <c r="C76" s="6" t="s">
        <v>184</v>
      </c>
      <c r="D76" s="6" t="s">
        <v>185</v>
      </c>
      <c r="E76" s="6" t="s">
        <v>186</v>
      </c>
      <c r="F76" s="6" t="s">
        <v>31</v>
      </c>
      <c r="G76" s="11">
        <v>2021</v>
      </c>
      <c r="H76" s="9">
        <v>3143228</v>
      </c>
      <c r="I76" s="18">
        <v>173769000</v>
      </c>
      <c r="J76" s="41"/>
      <c r="K76" s="41"/>
      <c r="L76" s="18">
        <v>1014000</v>
      </c>
      <c r="M76" s="18">
        <v>286000</v>
      </c>
      <c r="N76" s="18">
        <v>10363000</v>
      </c>
      <c r="O76" s="18">
        <v>7091000</v>
      </c>
      <c r="P76" s="41"/>
      <c r="Q76" s="18">
        <v>2584000</v>
      </c>
      <c r="R76" s="41"/>
      <c r="S76" s="41"/>
      <c r="T76" s="18">
        <v>201408000</v>
      </c>
      <c r="U76" s="18">
        <v>-98269000</v>
      </c>
      <c r="V76" s="18">
        <v>330928000</v>
      </c>
      <c r="W76" s="18">
        <v>2899089000</v>
      </c>
      <c r="X76" s="18">
        <v>107021000</v>
      </c>
      <c r="Y76" s="18">
        <f t="shared" si="21"/>
        <v>21338000</v>
      </c>
      <c r="Z76" s="42">
        <f t="shared" si="22"/>
        <v>0.12279520512864781</v>
      </c>
      <c r="AA76" s="6" t="str">
        <f t="shared" si="23"/>
        <v>No</v>
      </c>
      <c r="AB76" s="6" t="str">
        <f t="shared" si="24"/>
        <v>No</v>
      </c>
      <c r="AC76" s="6" t="str">
        <f t="shared" si="25"/>
        <v>No</v>
      </c>
      <c r="AD76" s="6" t="str">
        <f t="shared" si="26"/>
        <v>Yes</v>
      </c>
      <c r="AE76" s="6" t="str">
        <f t="shared" si="27"/>
        <v>No</v>
      </c>
      <c r="AF76" s="6" t="s">
        <v>640</v>
      </c>
      <c r="AG76" s="6" t="str">
        <f t="shared" si="28"/>
        <v>Yes</v>
      </c>
      <c r="AH76" s="6" t="str">
        <f t="shared" si="29"/>
        <v>Clean</v>
      </c>
      <c r="AI76" s="6" t="s">
        <v>607</v>
      </c>
      <c r="AJ76" s="6" t="s">
        <v>32</v>
      </c>
      <c r="AK76" s="6" t="s">
        <v>187</v>
      </c>
    </row>
    <row r="77" spans="1:37" ht="28">
      <c r="A77" s="6" t="str">
        <f t="shared" si="20"/>
        <v>HNL-2022</v>
      </c>
      <c r="B77" s="6" t="s">
        <v>183</v>
      </c>
      <c r="C77" s="6" t="s">
        <v>184</v>
      </c>
      <c r="D77" s="6" t="s">
        <v>185</v>
      </c>
      <c r="E77" s="6" t="s">
        <v>186</v>
      </c>
      <c r="F77" s="6" t="s">
        <v>31</v>
      </c>
      <c r="G77" s="11">
        <v>2022</v>
      </c>
      <c r="H77" s="9">
        <v>7919496</v>
      </c>
      <c r="I77" s="18">
        <v>245087000</v>
      </c>
      <c r="J77" s="41"/>
      <c r="K77" s="41"/>
      <c r="L77" s="18">
        <v>3932000</v>
      </c>
      <c r="M77" s="18">
        <v>5849000</v>
      </c>
      <c r="N77" s="18">
        <v>29390000</v>
      </c>
      <c r="O77" s="18">
        <v>16729000</v>
      </c>
      <c r="P77" s="41"/>
      <c r="Q77" s="18">
        <v>4792000</v>
      </c>
      <c r="R77" s="41"/>
      <c r="S77" s="41"/>
      <c r="T77" s="18">
        <v>209891000</v>
      </c>
      <c r="U77" s="18">
        <v>-52724000</v>
      </c>
      <c r="V77" s="18">
        <v>132345000</v>
      </c>
      <c r="W77" s="18">
        <v>3010506000</v>
      </c>
      <c r="X77" s="18">
        <v>131017000</v>
      </c>
      <c r="Y77" s="18">
        <f t="shared" si="21"/>
        <v>60692000</v>
      </c>
      <c r="Z77" s="42">
        <f t="shared" si="22"/>
        <v>0.24763451345848617</v>
      </c>
      <c r="AA77" s="6" t="str">
        <f t="shared" si="23"/>
        <v>No</v>
      </c>
      <c r="AB77" s="6" t="str">
        <f t="shared" si="24"/>
        <v>No</v>
      </c>
      <c r="AC77" s="6" t="str">
        <f t="shared" si="25"/>
        <v>No</v>
      </c>
      <c r="AD77" s="6" t="str">
        <f t="shared" si="26"/>
        <v>Yes</v>
      </c>
      <c r="AE77" s="6" t="str">
        <f t="shared" si="27"/>
        <v>No</v>
      </c>
      <c r="AF77" s="6" t="s">
        <v>640</v>
      </c>
      <c r="AG77" s="6" t="str">
        <f t="shared" si="28"/>
        <v>Yes</v>
      </c>
      <c r="AH77" s="6" t="str">
        <f t="shared" si="29"/>
        <v>Clean</v>
      </c>
      <c r="AI77" s="6" t="s">
        <v>607</v>
      </c>
      <c r="AJ77" s="6" t="s">
        <v>32</v>
      </c>
      <c r="AK77" s="6" t="s">
        <v>187</v>
      </c>
    </row>
    <row r="78" spans="1:37" ht="28">
      <c r="A78" s="6" t="str">
        <f t="shared" si="20"/>
        <v>HNL-2023</v>
      </c>
      <c r="B78" s="6" t="s">
        <v>183</v>
      </c>
      <c r="C78" s="6" t="s">
        <v>184</v>
      </c>
      <c r="D78" s="6" t="s">
        <v>185</v>
      </c>
      <c r="E78" s="6" t="s">
        <v>186</v>
      </c>
      <c r="F78" s="6" t="s">
        <v>31</v>
      </c>
      <c r="G78" s="11">
        <v>2023</v>
      </c>
      <c r="H78" s="9">
        <v>10176286</v>
      </c>
      <c r="I78" s="18">
        <v>288119000</v>
      </c>
      <c r="J78" s="41"/>
      <c r="K78" s="41"/>
      <c r="L78" s="18">
        <v>6513000</v>
      </c>
      <c r="M78" s="18">
        <v>11647000</v>
      </c>
      <c r="N78" s="18">
        <v>28901000</v>
      </c>
      <c r="O78" s="18">
        <v>21964000</v>
      </c>
      <c r="P78" s="41"/>
      <c r="Q78" s="18">
        <v>7358000</v>
      </c>
      <c r="R78" s="41"/>
      <c r="S78" s="41"/>
      <c r="T78" s="18">
        <v>216123000</v>
      </c>
      <c r="U78" s="18">
        <v>-36813000</v>
      </c>
      <c r="V78" s="18">
        <v>128033000</v>
      </c>
      <c r="W78" s="18">
        <v>1685636000</v>
      </c>
      <c r="X78" s="18">
        <v>148940000</v>
      </c>
      <c r="Y78" s="18">
        <f t="shared" si="21"/>
        <v>76383000</v>
      </c>
      <c r="Z78" s="42">
        <f t="shared" si="22"/>
        <v>0.26510920834793955</v>
      </c>
      <c r="AA78" s="6" t="str">
        <f t="shared" si="23"/>
        <v>No</v>
      </c>
      <c r="AB78" s="6" t="str">
        <f t="shared" si="24"/>
        <v>No</v>
      </c>
      <c r="AC78" s="6" t="str">
        <f t="shared" si="25"/>
        <v>No</v>
      </c>
      <c r="AD78" s="6" t="str">
        <f t="shared" si="26"/>
        <v>Yes</v>
      </c>
      <c r="AE78" s="6" t="str">
        <f t="shared" si="27"/>
        <v>No</v>
      </c>
      <c r="AF78" s="6" t="s">
        <v>640</v>
      </c>
      <c r="AG78" s="6" t="str">
        <f t="shared" si="28"/>
        <v>Yes</v>
      </c>
      <c r="AH78" s="6" t="str">
        <f t="shared" si="29"/>
        <v>Clean</v>
      </c>
      <c r="AI78" s="6" t="s">
        <v>607</v>
      </c>
      <c r="AJ78" s="6" t="s">
        <v>32</v>
      </c>
      <c r="AK78" s="6" t="s">
        <v>187</v>
      </c>
    </row>
    <row r="79" spans="1:37" ht="28">
      <c r="A79" s="6" t="str">
        <f t="shared" si="20"/>
        <v>HNL-2024</v>
      </c>
      <c r="B79" s="6" t="s">
        <v>183</v>
      </c>
      <c r="C79" s="6" t="s">
        <v>184</v>
      </c>
      <c r="D79" s="6" t="s">
        <v>185</v>
      </c>
      <c r="E79" s="6" t="s">
        <v>186</v>
      </c>
      <c r="F79" s="6" t="s">
        <v>31</v>
      </c>
      <c r="G79" s="11">
        <v>2024</v>
      </c>
      <c r="H79" s="9">
        <v>10868465</v>
      </c>
      <c r="I79" s="18">
        <v>380805000</v>
      </c>
      <c r="J79" s="41"/>
      <c r="K79" s="41"/>
      <c r="L79" s="18">
        <v>5074000</v>
      </c>
      <c r="M79" s="18">
        <v>26395000</v>
      </c>
      <c r="N79" s="18">
        <v>19257000</v>
      </c>
      <c r="O79" s="18">
        <v>21422000</v>
      </c>
      <c r="P79" s="41"/>
      <c r="Q79" s="18">
        <v>6634000</v>
      </c>
      <c r="R79" s="41"/>
      <c r="S79" s="41"/>
      <c r="T79" s="18">
        <v>269556000</v>
      </c>
      <c r="U79" s="18">
        <v>-1646000</v>
      </c>
      <c r="V79" s="18">
        <v>204519000</v>
      </c>
      <c r="W79" s="18">
        <v>1645128000</v>
      </c>
      <c r="X79" s="18">
        <v>227370000</v>
      </c>
      <c r="Y79" s="18">
        <f t="shared" si="21"/>
        <v>78782000</v>
      </c>
      <c r="Z79" s="42">
        <f t="shared" si="22"/>
        <v>0.20688278777852182</v>
      </c>
      <c r="AA79" s="6" t="str">
        <f t="shared" si="23"/>
        <v>No</v>
      </c>
      <c r="AB79" s="6" t="str">
        <f t="shared" si="24"/>
        <v>No</v>
      </c>
      <c r="AC79" s="6" t="str">
        <f t="shared" si="25"/>
        <v>No</v>
      </c>
      <c r="AD79" s="6" t="str">
        <f t="shared" si="26"/>
        <v>Yes</v>
      </c>
      <c r="AE79" s="6" t="str">
        <f t="shared" si="27"/>
        <v>No</v>
      </c>
      <c r="AF79" s="6" t="s">
        <v>640</v>
      </c>
      <c r="AG79" s="6" t="str">
        <f t="shared" si="28"/>
        <v>Yes</v>
      </c>
      <c r="AH79" s="6" t="str">
        <f t="shared" si="29"/>
        <v>Clean</v>
      </c>
      <c r="AI79" s="6" t="s">
        <v>607</v>
      </c>
      <c r="AJ79" s="6" t="s">
        <v>32</v>
      </c>
      <c r="AK79" s="6" t="s">
        <v>187</v>
      </c>
    </row>
    <row r="80" spans="1:37" ht="28">
      <c r="A80" s="6" t="str">
        <f t="shared" si="20"/>
        <v>IAD-2019</v>
      </c>
      <c r="B80" s="6" t="s">
        <v>173</v>
      </c>
      <c r="C80" s="6" t="s">
        <v>174</v>
      </c>
      <c r="D80" s="6" t="s">
        <v>175</v>
      </c>
      <c r="E80" s="6" t="s">
        <v>176</v>
      </c>
      <c r="F80" s="6" t="s">
        <v>31</v>
      </c>
      <c r="G80" s="11">
        <v>2019</v>
      </c>
      <c r="H80" s="9">
        <v>12326926</v>
      </c>
      <c r="I80" s="18">
        <v>458719000</v>
      </c>
      <c r="J80" s="41"/>
      <c r="K80" s="41"/>
      <c r="L80" s="18">
        <v>17170000</v>
      </c>
      <c r="M80" s="18">
        <v>23729000</v>
      </c>
      <c r="N80" s="18">
        <v>15777000</v>
      </c>
      <c r="O80" s="18">
        <v>89254000</v>
      </c>
      <c r="P80" s="41"/>
      <c r="Q80" s="18">
        <v>13800000</v>
      </c>
      <c r="R80" s="41"/>
      <c r="S80" s="41"/>
      <c r="T80" s="18">
        <v>248208000</v>
      </c>
      <c r="U80" s="18">
        <v>36710000</v>
      </c>
      <c r="V80" s="18">
        <v>38118000</v>
      </c>
      <c r="W80" s="18">
        <v>3084545000</v>
      </c>
      <c r="X80" s="18">
        <v>182652000</v>
      </c>
      <c r="Y80" s="18">
        <f t="shared" si="21"/>
        <v>159730000</v>
      </c>
      <c r="Z80" s="42">
        <f t="shared" si="22"/>
        <v>0.34820881629058315</v>
      </c>
      <c r="AA80" s="6" t="str">
        <f t="shared" si="23"/>
        <v>No</v>
      </c>
      <c r="AB80" s="6" t="str">
        <f t="shared" si="24"/>
        <v>No</v>
      </c>
      <c r="AC80" s="6" t="str">
        <f t="shared" si="25"/>
        <v>No</v>
      </c>
      <c r="AD80" s="6" t="str">
        <f t="shared" si="26"/>
        <v>No</v>
      </c>
      <c r="AE80" s="6" t="str">
        <f t="shared" si="27"/>
        <v>No</v>
      </c>
      <c r="AF80" s="6" t="s">
        <v>640</v>
      </c>
      <c r="AG80" s="6" t="str">
        <f t="shared" si="28"/>
        <v>Yes</v>
      </c>
      <c r="AH80" s="6" t="str">
        <f t="shared" si="29"/>
        <v>Clean</v>
      </c>
      <c r="AI80" s="6" t="s">
        <v>606</v>
      </c>
      <c r="AJ80" s="6" t="s">
        <v>32</v>
      </c>
      <c r="AK80" s="6" t="s">
        <v>177</v>
      </c>
    </row>
    <row r="81" spans="1:37" ht="28">
      <c r="A81" s="6" t="str">
        <f t="shared" si="20"/>
        <v>IAD-2020</v>
      </c>
      <c r="B81" s="6" t="s">
        <v>173</v>
      </c>
      <c r="C81" s="6" t="s">
        <v>174</v>
      </c>
      <c r="D81" s="6" t="s">
        <v>175</v>
      </c>
      <c r="E81" s="6" t="s">
        <v>176</v>
      </c>
      <c r="F81" s="6" t="s">
        <v>31</v>
      </c>
      <c r="G81" s="11">
        <v>2020</v>
      </c>
      <c r="H81" s="9">
        <v>4083437</v>
      </c>
      <c r="I81" s="18">
        <v>298447000</v>
      </c>
      <c r="J81" s="41"/>
      <c r="K81" s="41"/>
      <c r="L81" s="18">
        <v>5025000</v>
      </c>
      <c r="M81" s="18">
        <v>5875000</v>
      </c>
      <c r="N81" s="18">
        <v>7343000</v>
      </c>
      <c r="O81" s="18">
        <v>25394000</v>
      </c>
      <c r="P81" s="41"/>
      <c r="Q81" s="18">
        <v>7414000</v>
      </c>
      <c r="R81" s="41"/>
      <c r="S81" s="41"/>
      <c r="T81" s="18">
        <v>214139000</v>
      </c>
      <c r="U81" s="18">
        <v>-88559000</v>
      </c>
      <c r="V81" s="18">
        <v>62327000</v>
      </c>
      <c r="W81" s="18">
        <v>3403451000</v>
      </c>
      <c r="X81" s="18">
        <v>153504000</v>
      </c>
      <c r="Y81" s="18">
        <f t="shared" si="21"/>
        <v>51051000</v>
      </c>
      <c r="Z81" s="42">
        <f t="shared" si="22"/>
        <v>0.1710554972909763</v>
      </c>
      <c r="AA81" s="6" t="str">
        <f t="shared" si="23"/>
        <v>No</v>
      </c>
      <c r="AB81" s="6" t="str">
        <f t="shared" si="24"/>
        <v>No</v>
      </c>
      <c r="AC81" s="6" t="str">
        <f t="shared" si="25"/>
        <v>No</v>
      </c>
      <c r="AD81" s="6" t="str">
        <f t="shared" si="26"/>
        <v>Yes</v>
      </c>
      <c r="AE81" s="6" t="str">
        <f t="shared" si="27"/>
        <v>No</v>
      </c>
      <c r="AF81" s="6" t="s">
        <v>640</v>
      </c>
      <c r="AG81" s="6" t="str">
        <f t="shared" si="28"/>
        <v>Yes</v>
      </c>
      <c r="AH81" s="6" t="str">
        <f t="shared" si="29"/>
        <v>Clean</v>
      </c>
      <c r="AI81" s="6" t="s">
        <v>606</v>
      </c>
      <c r="AJ81" s="6" t="s">
        <v>32</v>
      </c>
      <c r="AK81" s="6" t="s">
        <v>177</v>
      </c>
    </row>
    <row r="82" spans="1:37" ht="28">
      <c r="A82" s="6" t="str">
        <f t="shared" si="20"/>
        <v>IAD-2021</v>
      </c>
      <c r="B82" s="6" t="s">
        <v>173</v>
      </c>
      <c r="C82" s="6" t="s">
        <v>174</v>
      </c>
      <c r="D82" s="6" t="s">
        <v>175</v>
      </c>
      <c r="E82" s="6" t="s">
        <v>176</v>
      </c>
      <c r="F82" s="6" t="s">
        <v>31</v>
      </c>
      <c r="G82" s="11">
        <v>2021</v>
      </c>
      <c r="H82" s="9">
        <v>7385023</v>
      </c>
      <c r="I82" s="18">
        <v>317813000</v>
      </c>
      <c r="J82" s="41"/>
      <c r="K82" s="41"/>
      <c r="L82" s="18">
        <v>7074000</v>
      </c>
      <c r="M82" s="18">
        <v>5756000</v>
      </c>
      <c r="N82" s="18">
        <v>12464000</v>
      </c>
      <c r="O82" s="18">
        <v>47860000</v>
      </c>
      <c r="P82" s="41"/>
      <c r="Q82" s="18">
        <v>8093000</v>
      </c>
      <c r="R82" s="41"/>
      <c r="S82" s="41"/>
      <c r="T82" s="18">
        <v>215067000</v>
      </c>
      <c r="U82" s="18">
        <v>-67360000</v>
      </c>
      <c r="V82" s="18">
        <v>167127000</v>
      </c>
      <c r="W82" s="18">
        <v>3451951000</v>
      </c>
      <c r="X82" s="18">
        <v>125587000</v>
      </c>
      <c r="Y82" s="18">
        <f t="shared" si="21"/>
        <v>81247000</v>
      </c>
      <c r="Z82" s="42">
        <f t="shared" si="22"/>
        <v>0.25564404225126097</v>
      </c>
      <c r="AA82" s="6" t="str">
        <f t="shared" si="23"/>
        <v>No</v>
      </c>
      <c r="AB82" s="6" t="str">
        <f t="shared" si="24"/>
        <v>No</v>
      </c>
      <c r="AC82" s="6" t="str">
        <f t="shared" si="25"/>
        <v>No</v>
      </c>
      <c r="AD82" s="6" t="str">
        <f t="shared" si="26"/>
        <v>Yes</v>
      </c>
      <c r="AE82" s="6" t="str">
        <f t="shared" si="27"/>
        <v>No</v>
      </c>
      <c r="AF82" s="6" t="s">
        <v>640</v>
      </c>
      <c r="AG82" s="6" t="str">
        <f t="shared" si="28"/>
        <v>Yes</v>
      </c>
      <c r="AH82" s="6" t="str">
        <f t="shared" si="29"/>
        <v>Clean</v>
      </c>
      <c r="AI82" s="6" t="s">
        <v>606</v>
      </c>
      <c r="AJ82" s="6" t="s">
        <v>32</v>
      </c>
      <c r="AK82" s="6" t="s">
        <v>177</v>
      </c>
    </row>
    <row r="83" spans="1:37" ht="28">
      <c r="A83" s="6" t="str">
        <f t="shared" si="20"/>
        <v>IAD-2022</v>
      </c>
      <c r="B83" s="6" t="s">
        <v>173</v>
      </c>
      <c r="C83" s="6" t="s">
        <v>174</v>
      </c>
      <c r="D83" s="6" t="s">
        <v>175</v>
      </c>
      <c r="E83" s="6" t="s">
        <v>176</v>
      </c>
      <c r="F83" s="6" t="s">
        <v>31</v>
      </c>
      <c r="G83" s="11">
        <v>2022</v>
      </c>
      <c r="H83" s="9">
        <v>10586011</v>
      </c>
      <c r="I83" s="18">
        <v>446818000</v>
      </c>
      <c r="J83" s="41"/>
      <c r="K83" s="41"/>
      <c r="L83" s="18">
        <v>9386000</v>
      </c>
      <c r="M83" s="18">
        <v>4807000</v>
      </c>
      <c r="N83" s="18">
        <v>17848000</v>
      </c>
      <c r="O83" s="18">
        <v>87747000</v>
      </c>
      <c r="P83" s="41"/>
      <c r="Q83" s="18">
        <v>10584000</v>
      </c>
      <c r="R83" s="41"/>
      <c r="S83" s="41"/>
      <c r="T83" s="18">
        <v>242055000</v>
      </c>
      <c r="U83" s="18">
        <v>32873000</v>
      </c>
      <c r="V83" s="18">
        <v>318307000</v>
      </c>
      <c r="W83" s="18">
        <v>3354221000</v>
      </c>
      <c r="X83" s="18">
        <v>187267000</v>
      </c>
      <c r="Y83" s="18">
        <f t="shared" si="21"/>
        <v>130372000</v>
      </c>
      <c r="Z83" s="42">
        <f t="shared" si="22"/>
        <v>0.29177875555595345</v>
      </c>
      <c r="AA83" s="6" t="str">
        <f t="shared" si="23"/>
        <v>No</v>
      </c>
      <c r="AB83" s="6" t="str">
        <f t="shared" si="24"/>
        <v>No</v>
      </c>
      <c r="AC83" s="6" t="str">
        <f t="shared" si="25"/>
        <v>No</v>
      </c>
      <c r="AD83" s="6" t="str">
        <f t="shared" si="26"/>
        <v>No</v>
      </c>
      <c r="AE83" s="6" t="str">
        <f t="shared" si="27"/>
        <v>No</v>
      </c>
      <c r="AF83" s="6" t="s">
        <v>640</v>
      </c>
      <c r="AG83" s="6" t="str">
        <f t="shared" si="28"/>
        <v>Yes</v>
      </c>
      <c r="AH83" s="6" t="str">
        <f t="shared" si="29"/>
        <v>Clean</v>
      </c>
      <c r="AI83" s="6" t="s">
        <v>606</v>
      </c>
      <c r="AJ83" s="6" t="s">
        <v>32</v>
      </c>
      <c r="AK83" s="6" t="s">
        <v>177</v>
      </c>
    </row>
    <row r="84" spans="1:37" ht="28">
      <c r="A84" s="6" t="str">
        <f t="shared" si="20"/>
        <v>IAD-2023</v>
      </c>
      <c r="B84" s="6" t="s">
        <v>173</v>
      </c>
      <c r="C84" s="6" t="s">
        <v>174</v>
      </c>
      <c r="D84" s="6" t="s">
        <v>175</v>
      </c>
      <c r="E84" s="6" t="s">
        <v>176</v>
      </c>
      <c r="F84" s="6" t="s">
        <v>31</v>
      </c>
      <c r="G84" s="11">
        <v>2023</v>
      </c>
      <c r="H84" s="9">
        <v>12385245</v>
      </c>
      <c r="I84" s="18">
        <v>515667000</v>
      </c>
      <c r="J84" s="41"/>
      <c r="K84" s="41"/>
      <c r="L84" s="18">
        <v>10793000</v>
      </c>
      <c r="M84" s="18">
        <v>12417000</v>
      </c>
      <c r="N84" s="18">
        <v>18763000</v>
      </c>
      <c r="O84" s="18">
        <v>111786000</v>
      </c>
      <c r="P84" s="41"/>
      <c r="Q84" s="18">
        <v>17116000</v>
      </c>
      <c r="R84" s="41"/>
      <c r="S84" s="41"/>
      <c r="T84" s="18">
        <v>259340000</v>
      </c>
      <c r="U84" s="18">
        <v>82322000</v>
      </c>
      <c r="V84" s="18">
        <v>100579000</v>
      </c>
      <c r="W84" s="18">
        <v>3398283000</v>
      </c>
      <c r="X84" s="18">
        <v>194548000</v>
      </c>
      <c r="Y84" s="18">
        <f t="shared" si="21"/>
        <v>170875000</v>
      </c>
      <c r="Z84" s="42">
        <f t="shared" si="22"/>
        <v>0.33136694804980732</v>
      </c>
      <c r="AA84" s="6" t="str">
        <f t="shared" si="23"/>
        <v>No</v>
      </c>
      <c r="AB84" s="6" t="str">
        <f t="shared" si="24"/>
        <v>No</v>
      </c>
      <c r="AC84" s="6" t="str">
        <f t="shared" si="25"/>
        <v>No</v>
      </c>
      <c r="AD84" s="6" t="str">
        <f t="shared" si="26"/>
        <v>No</v>
      </c>
      <c r="AE84" s="6" t="str">
        <f t="shared" si="27"/>
        <v>No</v>
      </c>
      <c r="AF84" s="6" t="s">
        <v>640</v>
      </c>
      <c r="AG84" s="6" t="str">
        <f t="shared" si="28"/>
        <v>Yes</v>
      </c>
      <c r="AH84" s="6" t="str">
        <f t="shared" si="29"/>
        <v>Clean</v>
      </c>
      <c r="AI84" s="6" t="s">
        <v>606</v>
      </c>
      <c r="AJ84" s="6" t="s">
        <v>32</v>
      </c>
      <c r="AK84" s="6" t="s">
        <v>177</v>
      </c>
    </row>
    <row r="85" spans="1:37" ht="28">
      <c r="A85" s="6" t="str">
        <f t="shared" si="20"/>
        <v>IAD-2024</v>
      </c>
      <c r="B85" s="6" t="s">
        <v>173</v>
      </c>
      <c r="C85" s="6" t="s">
        <v>174</v>
      </c>
      <c r="D85" s="6" t="s">
        <v>175</v>
      </c>
      <c r="E85" s="6" t="s">
        <v>176</v>
      </c>
      <c r="F85" s="6" t="s">
        <v>31</v>
      </c>
      <c r="G85" s="11">
        <v>2024</v>
      </c>
      <c r="H85" s="9">
        <v>13454238</v>
      </c>
      <c r="I85" s="18">
        <v>531826000</v>
      </c>
      <c r="J85" s="41"/>
      <c r="K85" s="41"/>
      <c r="L85" s="18">
        <v>21115000</v>
      </c>
      <c r="M85" s="18">
        <v>18163000</v>
      </c>
      <c r="N85" s="18">
        <v>19491000</v>
      </c>
      <c r="O85" s="18">
        <v>124692000</v>
      </c>
      <c r="P85" s="41"/>
      <c r="Q85" s="18">
        <v>18044000</v>
      </c>
      <c r="R85" s="41"/>
      <c r="S85" s="41"/>
      <c r="T85" s="18">
        <v>298305000</v>
      </c>
      <c r="U85" s="18">
        <v>62654000</v>
      </c>
      <c r="V85" s="18">
        <v>282519000</v>
      </c>
      <c r="W85" s="18">
        <v>3455469000</v>
      </c>
      <c r="X85" s="18">
        <v>173308000</v>
      </c>
      <c r="Y85" s="18">
        <f t="shared" si="21"/>
        <v>201505000</v>
      </c>
      <c r="Z85" s="42">
        <f t="shared" si="22"/>
        <v>0.37889272055145856</v>
      </c>
      <c r="AA85" s="6" t="str">
        <f t="shared" si="23"/>
        <v>No</v>
      </c>
      <c r="AB85" s="6" t="str">
        <f t="shared" si="24"/>
        <v>No</v>
      </c>
      <c r="AC85" s="6" t="str">
        <f t="shared" si="25"/>
        <v>No</v>
      </c>
      <c r="AD85" s="6" t="str">
        <f t="shared" si="26"/>
        <v>No</v>
      </c>
      <c r="AE85" s="6" t="str">
        <f t="shared" si="27"/>
        <v>No</v>
      </c>
      <c r="AF85" s="6" t="s">
        <v>640</v>
      </c>
      <c r="AG85" s="6" t="str">
        <f t="shared" si="28"/>
        <v>Yes</v>
      </c>
      <c r="AH85" s="6" t="str">
        <f t="shared" si="29"/>
        <v>Clean</v>
      </c>
      <c r="AI85" s="6" t="s">
        <v>606</v>
      </c>
      <c r="AJ85" s="6" t="s">
        <v>32</v>
      </c>
      <c r="AK85" s="6" t="s">
        <v>177</v>
      </c>
    </row>
    <row r="86" spans="1:37" ht="28">
      <c r="A86" s="6" t="str">
        <f t="shared" si="20"/>
        <v>IAH-2019</v>
      </c>
      <c r="B86" s="6" t="s">
        <v>88</v>
      </c>
      <c r="C86" s="6" t="s">
        <v>89</v>
      </c>
      <c r="D86" s="6" t="s">
        <v>90</v>
      </c>
      <c r="E86" s="6" t="s">
        <v>39</v>
      </c>
      <c r="F86" s="6" t="s">
        <v>31</v>
      </c>
      <c r="G86" s="11">
        <v>2019</v>
      </c>
      <c r="H86" s="9">
        <v>22478454</v>
      </c>
      <c r="I86" s="18">
        <v>391143000</v>
      </c>
      <c r="J86" s="41"/>
      <c r="K86" s="41"/>
      <c r="L86" s="18">
        <v>9742000</v>
      </c>
      <c r="M86" s="18">
        <v>7569000</v>
      </c>
      <c r="N86" s="18">
        <v>21831000</v>
      </c>
      <c r="O86" s="18">
        <v>93196000</v>
      </c>
      <c r="P86" s="41"/>
      <c r="Q86" s="18">
        <v>5161000</v>
      </c>
      <c r="R86" s="41"/>
      <c r="S86" s="41"/>
      <c r="T86" s="18">
        <v>251558000</v>
      </c>
      <c r="U86" s="18">
        <v>1321000</v>
      </c>
      <c r="V86" s="18">
        <v>124696000</v>
      </c>
      <c r="W86" s="18">
        <v>1692806000</v>
      </c>
      <c r="X86" s="18">
        <v>221205000</v>
      </c>
      <c r="Y86" s="18">
        <f t="shared" si="21"/>
        <v>137499000</v>
      </c>
      <c r="Z86" s="42">
        <f t="shared" si="22"/>
        <v>0.35153128139836326</v>
      </c>
      <c r="AA86" s="6" t="str">
        <f t="shared" si="23"/>
        <v>No</v>
      </c>
      <c r="AB86" s="6" t="str">
        <f t="shared" si="24"/>
        <v>No</v>
      </c>
      <c r="AC86" s="6" t="str">
        <f t="shared" si="25"/>
        <v>No</v>
      </c>
      <c r="AD86" s="6" t="str">
        <f t="shared" si="26"/>
        <v>No</v>
      </c>
      <c r="AE86" s="6" t="str">
        <f t="shared" si="27"/>
        <v>No</v>
      </c>
      <c r="AF86" s="6" t="s">
        <v>639</v>
      </c>
      <c r="AG86" s="6" t="str">
        <f t="shared" si="28"/>
        <v>Yes</v>
      </c>
      <c r="AH86" s="6" t="str">
        <f t="shared" si="29"/>
        <v>Clean</v>
      </c>
      <c r="AI86" s="6" t="s">
        <v>602</v>
      </c>
      <c r="AJ86" s="6" t="s">
        <v>32</v>
      </c>
      <c r="AK86" s="6" t="s">
        <v>91</v>
      </c>
    </row>
    <row r="87" spans="1:37" ht="28">
      <c r="A87" s="6" t="str">
        <f t="shared" si="20"/>
        <v>IAH-2020</v>
      </c>
      <c r="B87" s="6" t="s">
        <v>88</v>
      </c>
      <c r="C87" s="6" t="s">
        <v>89</v>
      </c>
      <c r="D87" s="6" t="s">
        <v>90</v>
      </c>
      <c r="E87" s="6" t="s">
        <v>39</v>
      </c>
      <c r="F87" s="6" t="s">
        <v>31</v>
      </c>
      <c r="G87" s="11">
        <v>2020</v>
      </c>
      <c r="H87" s="9">
        <v>16527043</v>
      </c>
      <c r="I87" s="18">
        <v>373473000</v>
      </c>
      <c r="J87" s="41"/>
      <c r="K87" s="41"/>
      <c r="L87" s="18">
        <v>7521000</v>
      </c>
      <c r="M87" s="18">
        <v>5783000</v>
      </c>
      <c r="N87" s="18">
        <v>18569000</v>
      </c>
      <c r="O87" s="18">
        <v>69574000</v>
      </c>
      <c r="P87" s="41"/>
      <c r="Q87" s="18">
        <v>3873000</v>
      </c>
      <c r="R87" s="41"/>
      <c r="S87" s="41"/>
      <c r="T87" s="18">
        <v>280089000</v>
      </c>
      <c r="U87" s="18">
        <v>-46990000</v>
      </c>
      <c r="V87" s="18">
        <v>170282000</v>
      </c>
      <c r="W87" s="18">
        <v>1637603000</v>
      </c>
      <c r="X87" s="18">
        <v>233547000</v>
      </c>
      <c r="Y87" s="18">
        <f t="shared" si="21"/>
        <v>105320000</v>
      </c>
      <c r="Z87" s="42">
        <f t="shared" si="22"/>
        <v>0.28200164402781458</v>
      </c>
      <c r="AA87" s="6" t="str">
        <f t="shared" si="23"/>
        <v>No</v>
      </c>
      <c r="AB87" s="6" t="str">
        <f t="shared" si="24"/>
        <v>No</v>
      </c>
      <c r="AC87" s="6" t="str">
        <f t="shared" si="25"/>
        <v>No</v>
      </c>
      <c r="AD87" s="6" t="str">
        <f t="shared" si="26"/>
        <v>Yes</v>
      </c>
      <c r="AE87" s="6" t="str">
        <f t="shared" si="27"/>
        <v>No</v>
      </c>
      <c r="AF87" s="6" t="s">
        <v>639</v>
      </c>
      <c r="AG87" s="6" t="str">
        <f t="shared" si="28"/>
        <v>Yes</v>
      </c>
      <c r="AH87" s="6" t="str">
        <f t="shared" si="29"/>
        <v>Clean</v>
      </c>
      <c r="AI87" s="6" t="s">
        <v>602</v>
      </c>
      <c r="AJ87" s="6" t="s">
        <v>32</v>
      </c>
      <c r="AK87" s="6" t="s">
        <v>91</v>
      </c>
    </row>
    <row r="88" spans="1:37" ht="28">
      <c r="A88" s="6" t="str">
        <f t="shared" si="20"/>
        <v>IAH-2021</v>
      </c>
      <c r="B88" s="6" t="s">
        <v>88</v>
      </c>
      <c r="C88" s="6" t="s">
        <v>89</v>
      </c>
      <c r="D88" s="6" t="s">
        <v>90</v>
      </c>
      <c r="E88" s="6" t="s">
        <v>39</v>
      </c>
      <c r="F88" s="6" t="s">
        <v>31</v>
      </c>
      <c r="G88" s="11">
        <v>2021</v>
      </c>
      <c r="H88" s="9">
        <v>10861348</v>
      </c>
      <c r="I88" s="18">
        <v>246007000</v>
      </c>
      <c r="J88" s="41"/>
      <c r="K88" s="41"/>
      <c r="L88" s="18">
        <v>4132000</v>
      </c>
      <c r="M88" s="18">
        <v>3604000</v>
      </c>
      <c r="N88" s="18">
        <v>16270000</v>
      </c>
      <c r="O88" s="18">
        <v>37321000</v>
      </c>
      <c r="P88" s="41"/>
      <c r="Q88" s="18">
        <v>1144000</v>
      </c>
      <c r="R88" s="41"/>
      <c r="S88" s="41"/>
      <c r="T88" s="18">
        <v>236683000</v>
      </c>
      <c r="U88" s="18">
        <v>-123491000</v>
      </c>
      <c r="V88" s="18">
        <v>217274000</v>
      </c>
      <c r="W88" s="18">
        <v>1814565000</v>
      </c>
      <c r="X88" s="18">
        <v>151064000</v>
      </c>
      <c r="Y88" s="18">
        <f t="shared" si="21"/>
        <v>62471000</v>
      </c>
      <c r="Z88" s="42">
        <f t="shared" si="22"/>
        <v>0.2539399285386188</v>
      </c>
      <c r="AA88" s="6" t="str">
        <f t="shared" si="23"/>
        <v>No</v>
      </c>
      <c r="AB88" s="6" t="str">
        <f t="shared" si="24"/>
        <v>No</v>
      </c>
      <c r="AC88" s="6" t="str">
        <f t="shared" si="25"/>
        <v>No</v>
      </c>
      <c r="AD88" s="6" t="str">
        <f t="shared" si="26"/>
        <v>Yes</v>
      </c>
      <c r="AE88" s="6" t="str">
        <f t="shared" si="27"/>
        <v>No</v>
      </c>
      <c r="AF88" s="6" t="s">
        <v>639</v>
      </c>
      <c r="AG88" s="6" t="str">
        <f t="shared" si="28"/>
        <v>Yes</v>
      </c>
      <c r="AH88" s="6" t="str">
        <f t="shared" si="29"/>
        <v>Clean</v>
      </c>
      <c r="AI88" s="6" t="s">
        <v>602</v>
      </c>
      <c r="AJ88" s="6" t="s">
        <v>32</v>
      </c>
      <c r="AK88" s="6" t="s">
        <v>91</v>
      </c>
    </row>
    <row r="89" spans="1:37" ht="28">
      <c r="A89" s="6" t="str">
        <f t="shared" si="20"/>
        <v>IAH-2022</v>
      </c>
      <c r="B89" s="6" t="s">
        <v>88</v>
      </c>
      <c r="C89" s="6" t="s">
        <v>89</v>
      </c>
      <c r="D89" s="6" t="s">
        <v>90</v>
      </c>
      <c r="E89" s="6" t="s">
        <v>39</v>
      </c>
      <c r="F89" s="6" t="s">
        <v>31</v>
      </c>
      <c r="G89" s="11">
        <v>2022</v>
      </c>
      <c r="H89" s="9">
        <v>19812392</v>
      </c>
      <c r="I89" s="18">
        <v>370077000</v>
      </c>
      <c r="J89" s="41"/>
      <c r="K89" s="41"/>
      <c r="L89" s="18">
        <v>9526000</v>
      </c>
      <c r="M89" s="18">
        <v>6739000</v>
      </c>
      <c r="N89" s="18">
        <v>27191000</v>
      </c>
      <c r="O89" s="18">
        <v>87056000</v>
      </c>
      <c r="P89" s="41"/>
      <c r="Q89" s="18">
        <v>3196000</v>
      </c>
      <c r="R89" s="41"/>
      <c r="S89" s="41"/>
      <c r="T89" s="18">
        <v>232019000</v>
      </c>
      <c r="U89" s="18">
        <v>9699000</v>
      </c>
      <c r="V89" s="18">
        <v>253296000</v>
      </c>
      <c r="W89" s="18">
        <v>1986437000</v>
      </c>
      <c r="X89" s="18">
        <v>202415000</v>
      </c>
      <c r="Y89" s="18">
        <f t="shared" si="21"/>
        <v>133708000</v>
      </c>
      <c r="Z89" s="42">
        <f t="shared" si="22"/>
        <v>0.36129778397468637</v>
      </c>
      <c r="AA89" s="6" t="str">
        <f t="shared" si="23"/>
        <v>No</v>
      </c>
      <c r="AB89" s="6" t="str">
        <f t="shared" si="24"/>
        <v>No</v>
      </c>
      <c r="AC89" s="6" t="str">
        <f t="shared" si="25"/>
        <v>No</v>
      </c>
      <c r="AD89" s="6" t="str">
        <f t="shared" si="26"/>
        <v>No</v>
      </c>
      <c r="AE89" s="6" t="str">
        <f t="shared" si="27"/>
        <v>No</v>
      </c>
      <c r="AF89" s="6" t="s">
        <v>639</v>
      </c>
      <c r="AG89" s="6" t="str">
        <f t="shared" si="28"/>
        <v>Yes</v>
      </c>
      <c r="AH89" s="6" t="str">
        <f t="shared" si="29"/>
        <v>Clean</v>
      </c>
      <c r="AI89" s="6" t="s">
        <v>602</v>
      </c>
      <c r="AJ89" s="6" t="s">
        <v>32</v>
      </c>
      <c r="AK89" s="6" t="s">
        <v>91</v>
      </c>
    </row>
    <row r="90" spans="1:37" ht="28">
      <c r="A90" s="6" t="str">
        <f t="shared" si="20"/>
        <v>IAH-2023</v>
      </c>
      <c r="B90" s="6" t="s">
        <v>88</v>
      </c>
      <c r="C90" s="6" t="s">
        <v>89</v>
      </c>
      <c r="D90" s="6" t="s">
        <v>90</v>
      </c>
      <c r="E90" s="6" t="s">
        <v>39</v>
      </c>
      <c r="F90" s="6" t="s">
        <v>31</v>
      </c>
      <c r="G90" s="11">
        <v>2023</v>
      </c>
      <c r="H90" s="9">
        <v>22120380</v>
      </c>
      <c r="I90" s="18">
        <v>428188000</v>
      </c>
      <c r="J90" s="41"/>
      <c r="K90" s="41"/>
      <c r="L90" s="18">
        <v>11438000</v>
      </c>
      <c r="M90" s="18">
        <v>9427000</v>
      </c>
      <c r="N90" s="18">
        <v>30056000</v>
      </c>
      <c r="O90" s="18">
        <v>107051000</v>
      </c>
      <c r="P90" s="41"/>
      <c r="Q90" s="18">
        <v>4863000</v>
      </c>
      <c r="R90" s="41"/>
      <c r="S90" s="41"/>
      <c r="T90" s="18">
        <v>297841000</v>
      </c>
      <c r="U90" s="18">
        <v>-976000</v>
      </c>
      <c r="V90" s="18">
        <v>414471000</v>
      </c>
      <c r="W90" s="18">
        <v>2149935000</v>
      </c>
      <c r="X90" s="18">
        <v>231725000</v>
      </c>
      <c r="Y90" s="18">
        <f t="shared" si="21"/>
        <v>162835000</v>
      </c>
      <c r="Z90" s="42">
        <f t="shared" si="22"/>
        <v>0.38028856483600659</v>
      </c>
      <c r="AA90" s="6" t="str">
        <f t="shared" si="23"/>
        <v>No</v>
      </c>
      <c r="AB90" s="6" t="str">
        <f t="shared" si="24"/>
        <v>No</v>
      </c>
      <c r="AC90" s="6" t="str">
        <f t="shared" si="25"/>
        <v>No</v>
      </c>
      <c r="AD90" s="6" t="str">
        <f t="shared" si="26"/>
        <v>Yes</v>
      </c>
      <c r="AE90" s="6" t="str">
        <f t="shared" si="27"/>
        <v>No</v>
      </c>
      <c r="AF90" s="6" t="s">
        <v>639</v>
      </c>
      <c r="AG90" s="6" t="str">
        <f t="shared" si="28"/>
        <v>Yes</v>
      </c>
      <c r="AH90" s="6" t="str">
        <f t="shared" si="29"/>
        <v>Clean</v>
      </c>
      <c r="AI90" s="6" t="s">
        <v>602</v>
      </c>
      <c r="AJ90" s="6" t="s">
        <v>32</v>
      </c>
      <c r="AK90" s="6" t="s">
        <v>91</v>
      </c>
    </row>
    <row r="91" spans="1:37" ht="28">
      <c r="A91" s="6" t="str">
        <f t="shared" si="20"/>
        <v>IAH-2024</v>
      </c>
      <c r="B91" s="6" t="s">
        <v>88</v>
      </c>
      <c r="C91" s="6" t="s">
        <v>89</v>
      </c>
      <c r="D91" s="6" t="s">
        <v>90</v>
      </c>
      <c r="E91" s="6" t="s">
        <v>39</v>
      </c>
      <c r="F91" s="6" t="s">
        <v>31</v>
      </c>
      <c r="G91" s="11">
        <v>2024</v>
      </c>
      <c r="H91" s="9">
        <v>23718098</v>
      </c>
      <c r="I91" s="18">
        <v>456537000</v>
      </c>
      <c r="J91" s="41"/>
      <c r="K91" s="41"/>
      <c r="L91" s="18">
        <v>9601000</v>
      </c>
      <c r="M91" s="18">
        <v>10772000</v>
      </c>
      <c r="N91" s="18">
        <v>31408000</v>
      </c>
      <c r="O91" s="18">
        <v>112970000</v>
      </c>
      <c r="P91" s="41"/>
      <c r="Q91" s="18">
        <v>5485000</v>
      </c>
      <c r="R91" s="41"/>
      <c r="S91" s="41"/>
      <c r="T91" s="18">
        <v>328897000</v>
      </c>
      <c r="U91" s="18">
        <v>-3022000</v>
      </c>
      <c r="V91" s="18">
        <v>356763000</v>
      </c>
      <c r="W91" s="18">
        <v>2176210000</v>
      </c>
      <c r="X91" s="18">
        <v>252842000</v>
      </c>
      <c r="Y91" s="18">
        <f t="shared" si="21"/>
        <v>170236000</v>
      </c>
      <c r="Z91" s="42">
        <f t="shared" si="22"/>
        <v>0.3728854397343479</v>
      </c>
      <c r="AA91" s="6" t="str">
        <f t="shared" si="23"/>
        <v>No</v>
      </c>
      <c r="AB91" s="6" t="str">
        <f t="shared" si="24"/>
        <v>No</v>
      </c>
      <c r="AC91" s="6" t="str">
        <f t="shared" si="25"/>
        <v>No</v>
      </c>
      <c r="AD91" s="6" t="str">
        <f t="shared" si="26"/>
        <v>Yes</v>
      </c>
      <c r="AE91" s="6" t="str">
        <f t="shared" si="27"/>
        <v>No</v>
      </c>
      <c r="AF91" s="6" t="s">
        <v>639</v>
      </c>
      <c r="AG91" s="6" t="str">
        <f t="shared" si="28"/>
        <v>Yes</v>
      </c>
      <c r="AH91" s="6" t="str">
        <f t="shared" si="29"/>
        <v>Clean</v>
      </c>
      <c r="AI91" s="6" t="s">
        <v>602</v>
      </c>
      <c r="AJ91" s="6" t="s">
        <v>32</v>
      </c>
      <c r="AK91" s="6" t="s">
        <v>91</v>
      </c>
    </row>
    <row r="92" spans="1:37" ht="28">
      <c r="A92" s="6" t="str">
        <f t="shared" si="20"/>
        <v>JFK-2019</v>
      </c>
      <c r="B92" s="6" t="s">
        <v>158</v>
      </c>
      <c r="C92" s="6" t="s">
        <v>159</v>
      </c>
      <c r="D92" s="6" t="s">
        <v>160</v>
      </c>
      <c r="E92" s="6" t="s">
        <v>161</v>
      </c>
      <c r="F92" s="6" t="s">
        <v>31</v>
      </c>
      <c r="G92" s="11">
        <v>2019</v>
      </c>
      <c r="H92" s="9">
        <v>31275536</v>
      </c>
      <c r="I92" s="18">
        <v>1367791000</v>
      </c>
      <c r="J92" s="41"/>
      <c r="K92" s="41"/>
      <c r="L92" s="18">
        <v>7200000</v>
      </c>
      <c r="M92" s="18">
        <v>39311000</v>
      </c>
      <c r="N92" s="18">
        <v>32729000</v>
      </c>
      <c r="O92" s="18">
        <v>92057000</v>
      </c>
      <c r="P92" s="41"/>
      <c r="Q92" s="18">
        <v>4047000</v>
      </c>
      <c r="R92" s="41"/>
      <c r="S92" s="41"/>
      <c r="T92" s="18">
        <v>863504000</v>
      </c>
      <c r="U92" s="18">
        <v>298372000</v>
      </c>
      <c r="V92" s="18">
        <v>399140000</v>
      </c>
      <c r="W92" s="18">
        <v>1138906000</v>
      </c>
      <c r="X92" s="18">
        <v>825311000</v>
      </c>
      <c r="Y92" s="18">
        <f t="shared" si="21"/>
        <v>175344000</v>
      </c>
      <c r="Z92" s="42">
        <f t="shared" si="22"/>
        <v>0.12819502394737209</v>
      </c>
      <c r="AA92" s="6" t="str">
        <f t="shared" si="23"/>
        <v>No</v>
      </c>
      <c r="AB92" s="6" t="str">
        <f t="shared" si="24"/>
        <v>No</v>
      </c>
      <c r="AC92" s="6" t="str">
        <f t="shared" si="25"/>
        <v>No</v>
      </c>
      <c r="AD92" s="6" t="str">
        <f t="shared" si="26"/>
        <v>No</v>
      </c>
      <c r="AE92" s="6" t="str">
        <f t="shared" si="27"/>
        <v>No</v>
      </c>
      <c r="AF92" s="6" t="s">
        <v>640</v>
      </c>
      <c r="AG92" s="6" t="str">
        <f t="shared" si="28"/>
        <v>Yes</v>
      </c>
      <c r="AH92" s="6" t="str">
        <f t="shared" si="29"/>
        <v>Clean</v>
      </c>
      <c r="AI92" s="6" t="s">
        <v>605</v>
      </c>
      <c r="AJ92" s="6" t="s">
        <v>32</v>
      </c>
      <c r="AK92" s="6" t="s">
        <v>162</v>
      </c>
    </row>
    <row r="93" spans="1:37" ht="28">
      <c r="A93" s="6" t="str">
        <f t="shared" si="20"/>
        <v>JFK-2020</v>
      </c>
      <c r="B93" s="6" t="s">
        <v>158</v>
      </c>
      <c r="C93" s="6" t="s">
        <v>159</v>
      </c>
      <c r="D93" s="6" t="s">
        <v>160</v>
      </c>
      <c r="E93" s="6" t="s">
        <v>161</v>
      </c>
      <c r="F93" s="6" t="s">
        <v>31</v>
      </c>
      <c r="G93" s="11">
        <v>2020</v>
      </c>
      <c r="H93" s="9">
        <v>8329975</v>
      </c>
      <c r="I93" s="18">
        <v>920388000</v>
      </c>
      <c r="J93" s="41"/>
      <c r="K93" s="41"/>
      <c r="L93" s="18">
        <v>1676000</v>
      </c>
      <c r="M93" s="18">
        <v>9800000</v>
      </c>
      <c r="N93" s="18">
        <v>17147000</v>
      </c>
      <c r="O93" s="18">
        <v>36201000</v>
      </c>
      <c r="P93" s="41"/>
      <c r="Q93" s="18">
        <v>1806000</v>
      </c>
      <c r="R93" s="41"/>
      <c r="S93" s="41"/>
      <c r="T93" s="18">
        <v>816449000</v>
      </c>
      <c r="U93" s="18">
        <v>-116729000</v>
      </c>
      <c r="V93" s="18">
        <v>234752000</v>
      </c>
      <c r="W93" s="18">
        <v>0</v>
      </c>
      <c r="X93" s="18">
        <v>553625000</v>
      </c>
      <c r="Y93" s="18">
        <f t="shared" si="21"/>
        <v>66630000</v>
      </c>
      <c r="Z93" s="42">
        <f t="shared" si="22"/>
        <v>7.2393381921537436E-2</v>
      </c>
      <c r="AA93" s="6" t="str">
        <f t="shared" si="23"/>
        <v>No</v>
      </c>
      <c r="AB93" s="6" t="str">
        <f t="shared" si="24"/>
        <v>No</v>
      </c>
      <c r="AC93" s="6" t="str">
        <f t="shared" si="25"/>
        <v>No</v>
      </c>
      <c r="AD93" s="6" t="str">
        <f t="shared" si="26"/>
        <v>Yes</v>
      </c>
      <c r="AE93" s="6" t="str">
        <f t="shared" si="27"/>
        <v>No</v>
      </c>
      <c r="AF93" s="6" t="s">
        <v>640</v>
      </c>
      <c r="AG93" s="6" t="str">
        <f t="shared" si="28"/>
        <v>Yes</v>
      </c>
      <c r="AH93" s="6" t="str">
        <f t="shared" si="29"/>
        <v>Clean</v>
      </c>
      <c r="AI93" s="6" t="s">
        <v>605</v>
      </c>
      <c r="AJ93" s="6" t="s">
        <v>32</v>
      </c>
      <c r="AK93" s="6" t="s">
        <v>162</v>
      </c>
    </row>
    <row r="94" spans="1:37" ht="28">
      <c r="A94" s="6" t="str">
        <f t="shared" si="20"/>
        <v>JFK-2021</v>
      </c>
      <c r="B94" s="6" t="s">
        <v>158</v>
      </c>
      <c r="C94" s="6" t="s">
        <v>159</v>
      </c>
      <c r="D94" s="6" t="s">
        <v>160</v>
      </c>
      <c r="E94" s="6" t="s">
        <v>161</v>
      </c>
      <c r="F94" s="6" t="s">
        <v>31</v>
      </c>
      <c r="G94" s="11">
        <v>2021</v>
      </c>
      <c r="H94" s="9">
        <v>15311865</v>
      </c>
      <c r="I94" s="18">
        <v>1087199000</v>
      </c>
      <c r="J94" s="41"/>
      <c r="K94" s="41"/>
      <c r="L94" s="18">
        <v>2634000</v>
      </c>
      <c r="M94" s="18">
        <v>11304000</v>
      </c>
      <c r="N94" s="18">
        <v>24858000</v>
      </c>
      <c r="O94" s="18">
        <v>80659000</v>
      </c>
      <c r="P94" s="41"/>
      <c r="Q94" s="18">
        <v>2987000</v>
      </c>
      <c r="R94" s="41"/>
      <c r="S94" s="41"/>
      <c r="T94" s="18">
        <v>722016000</v>
      </c>
      <c r="U94" s="18">
        <v>145646000</v>
      </c>
      <c r="V94" s="18">
        <v>128182000</v>
      </c>
      <c r="W94" s="18"/>
      <c r="X94" s="18">
        <v>718440000</v>
      </c>
      <c r="Y94" s="18">
        <f t="shared" si="21"/>
        <v>122442000</v>
      </c>
      <c r="Z94" s="42">
        <f t="shared" si="22"/>
        <v>0.11262151639212324</v>
      </c>
      <c r="AA94" s="6" t="str">
        <f t="shared" si="23"/>
        <v>No</v>
      </c>
      <c r="AB94" s="6" t="str">
        <f t="shared" si="24"/>
        <v>No</v>
      </c>
      <c r="AC94" s="6" t="str">
        <f t="shared" si="25"/>
        <v>No</v>
      </c>
      <c r="AD94" s="6" t="str">
        <f t="shared" si="26"/>
        <v>No</v>
      </c>
      <c r="AE94" s="6" t="str">
        <f t="shared" si="27"/>
        <v>No</v>
      </c>
      <c r="AF94" s="6" t="s">
        <v>640</v>
      </c>
      <c r="AG94" s="6" t="str">
        <f t="shared" si="28"/>
        <v>Yes</v>
      </c>
      <c r="AH94" s="6" t="str">
        <f t="shared" si="29"/>
        <v>Clean</v>
      </c>
      <c r="AI94" s="6" t="s">
        <v>605</v>
      </c>
      <c r="AJ94" s="6" t="s">
        <v>32</v>
      </c>
      <c r="AK94" s="6" t="s">
        <v>162</v>
      </c>
    </row>
    <row r="95" spans="1:37" ht="28">
      <c r="A95" s="6" t="str">
        <f t="shared" si="20"/>
        <v>JFK-2022</v>
      </c>
      <c r="B95" s="6" t="s">
        <v>158</v>
      </c>
      <c r="C95" s="6" t="s">
        <v>159</v>
      </c>
      <c r="D95" s="6" t="s">
        <v>160</v>
      </c>
      <c r="E95" s="6" t="s">
        <v>161</v>
      </c>
      <c r="F95" s="6" t="s">
        <v>31</v>
      </c>
      <c r="G95" s="11">
        <v>2022</v>
      </c>
      <c r="H95" s="9">
        <v>27459554</v>
      </c>
      <c r="I95" s="18">
        <v>1486589000</v>
      </c>
      <c r="J95" s="41"/>
      <c r="K95" s="41"/>
      <c r="L95" s="18">
        <v>10443000</v>
      </c>
      <c r="M95" s="18">
        <v>22210000</v>
      </c>
      <c r="N95" s="18">
        <v>34122000</v>
      </c>
      <c r="O95" s="18">
        <v>135362000</v>
      </c>
      <c r="P95" s="41"/>
      <c r="Q95" s="18">
        <v>3680000</v>
      </c>
      <c r="R95" s="41"/>
      <c r="S95" s="41"/>
      <c r="T95" s="18">
        <v>839989000</v>
      </c>
      <c r="U95" s="18">
        <v>425762000</v>
      </c>
      <c r="V95" s="18">
        <v>235006000</v>
      </c>
      <c r="W95" s="18"/>
      <c r="X95" s="18">
        <v>897200000</v>
      </c>
      <c r="Y95" s="18">
        <f t="shared" si="21"/>
        <v>205817000</v>
      </c>
      <c r="Z95" s="42">
        <f t="shared" si="22"/>
        <v>0.13844916113330585</v>
      </c>
      <c r="AA95" s="6" t="str">
        <f t="shared" si="23"/>
        <v>No</v>
      </c>
      <c r="AB95" s="6" t="str">
        <f t="shared" si="24"/>
        <v>No</v>
      </c>
      <c r="AC95" s="6" t="str">
        <f t="shared" si="25"/>
        <v>No</v>
      </c>
      <c r="AD95" s="6" t="str">
        <f t="shared" si="26"/>
        <v>No</v>
      </c>
      <c r="AE95" s="6" t="str">
        <f t="shared" si="27"/>
        <v>No</v>
      </c>
      <c r="AF95" s="6" t="s">
        <v>640</v>
      </c>
      <c r="AG95" s="6" t="str">
        <f t="shared" si="28"/>
        <v>Yes</v>
      </c>
      <c r="AH95" s="6" t="str">
        <f t="shared" si="29"/>
        <v>Clean</v>
      </c>
      <c r="AI95" s="6" t="s">
        <v>605</v>
      </c>
      <c r="AJ95" s="6" t="s">
        <v>32</v>
      </c>
      <c r="AK95" s="6" t="s">
        <v>162</v>
      </c>
    </row>
    <row r="96" spans="1:37" ht="28">
      <c r="A96" s="6" t="str">
        <f t="shared" si="20"/>
        <v>JFK-2023</v>
      </c>
      <c r="B96" s="6" t="s">
        <v>158</v>
      </c>
      <c r="C96" s="6" t="s">
        <v>159</v>
      </c>
      <c r="D96" s="6" t="s">
        <v>160</v>
      </c>
      <c r="E96" s="6" t="s">
        <v>161</v>
      </c>
      <c r="F96" s="6" t="s">
        <v>31</v>
      </c>
      <c r="G96" s="11">
        <v>2023</v>
      </c>
      <c r="H96" s="9">
        <v>31025194</v>
      </c>
      <c r="I96" s="18">
        <v>1679745000</v>
      </c>
      <c r="J96" s="41"/>
      <c r="K96" s="41"/>
      <c r="L96" s="18">
        <v>5992000</v>
      </c>
      <c r="M96" s="18">
        <v>32974000</v>
      </c>
      <c r="N96" s="18">
        <v>35315000</v>
      </c>
      <c r="O96" s="18">
        <v>151458000</v>
      </c>
      <c r="P96" s="41"/>
      <c r="Q96" s="18">
        <v>5231000</v>
      </c>
      <c r="R96" s="41"/>
      <c r="S96" s="41"/>
      <c r="T96" s="18">
        <v>944776000</v>
      </c>
      <c r="U96" s="18">
        <v>521580000</v>
      </c>
      <c r="V96" s="18">
        <v>558920000</v>
      </c>
      <c r="W96" s="18"/>
      <c r="X96" s="18">
        <v>1044113000</v>
      </c>
      <c r="Y96" s="18">
        <f t="shared" si="21"/>
        <v>230970000</v>
      </c>
      <c r="Z96" s="42">
        <f t="shared" si="22"/>
        <v>0.13750301385031657</v>
      </c>
      <c r="AA96" s="6" t="str">
        <f t="shared" si="23"/>
        <v>No</v>
      </c>
      <c r="AB96" s="6" t="str">
        <f t="shared" si="24"/>
        <v>No</v>
      </c>
      <c r="AC96" s="6" t="str">
        <f t="shared" si="25"/>
        <v>No</v>
      </c>
      <c r="AD96" s="6" t="str">
        <f t="shared" si="26"/>
        <v>No</v>
      </c>
      <c r="AE96" s="6" t="str">
        <f t="shared" si="27"/>
        <v>No</v>
      </c>
      <c r="AF96" s="6" t="s">
        <v>640</v>
      </c>
      <c r="AG96" s="6" t="str">
        <f t="shared" si="28"/>
        <v>Yes</v>
      </c>
      <c r="AH96" s="6" t="str">
        <f t="shared" si="29"/>
        <v>Clean</v>
      </c>
      <c r="AI96" s="6" t="s">
        <v>605</v>
      </c>
      <c r="AJ96" s="6" t="s">
        <v>32</v>
      </c>
      <c r="AK96" s="6" t="s">
        <v>162</v>
      </c>
    </row>
    <row r="97" spans="1:37" ht="28">
      <c r="A97" s="6" t="str">
        <f t="shared" si="20"/>
        <v>JFK-2024</v>
      </c>
      <c r="B97" s="6" t="s">
        <v>158</v>
      </c>
      <c r="C97" s="6" t="s">
        <v>159</v>
      </c>
      <c r="D97" s="6" t="s">
        <v>160</v>
      </c>
      <c r="E97" s="6" t="s">
        <v>161</v>
      </c>
      <c r="F97" s="6" t="s">
        <v>31</v>
      </c>
      <c r="G97" s="11">
        <v>2024</v>
      </c>
      <c r="H97" s="9">
        <v>31632992</v>
      </c>
      <c r="I97" s="18">
        <v>1898669000</v>
      </c>
      <c r="J97" s="41"/>
      <c r="K97" s="41"/>
      <c r="L97" s="18">
        <v>4954000</v>
      </c>
      <c r="M97" s="18">
        <v>35744000</v>
      </c>
      <c r="N97" s="18">
        <v>39060000</v>
      </c>
      <c r="O97" s="18">
        <v>140686000</v>
      </c>
      <c r="P97" s="41"/>
      <c r="Q97" s="18">
        <v>5192000</v>
      </c>
      <c r="R97" s="41"/>
      <c r="S97" s="41"/>
      <c r="T97" s="18">
        <v>1018209000</v>
      </c>
      <c r="U97" s="18">
        <v>676106000</v>
      </c>
      <c r="V97" s="18">
        <v>779180000</v>
      </c>
      <c r="W97" s="18"/>
      <c r="X97" s="18">
        <v>1139224000</v>
      </c>
      <c r="Y97" s="18">
        <f t="shared" si="21"/>
        <v>225636000</v>
      </c>
      <c r="Z97" s="42">
        <f t="shared" si="22"/>
        <v>0.11883903934809069</v>
      </c>
      <c r="AA97" s="6" t="str">
        <f t="shared" si="23"/>
        <v>No</v>
      </c>
      <c r="AB97" s="6" t="str">
        <f t="shared" si="24"/>
        <v>No</v>
      </c>
      <c r="AC97" s="6" t="str">
        <f t="shared" si="25"/>
        <v>No</v>
      </c>
      <c r="AD97" s="6" t="str">
        <f t="shared" si="26"/>
        <v>No</v>
      </c>
      <c r="AE97" s="6" t="str">
        <f t="shared" si="27"/>
        <v>No</v>
      </c>
      <c r="AF97" s="6" t="s">
        <v>640</v>
      </c>
      <c r="AG97" s="6" t="str">
        <f t="shared" si="28"/>
        <v>Yes</v>
      </c>
      <c r="AH97" s="6" t="str">
        <f t="shared" si="29"/>
        <v>Clean</v>
      </c>
      <c r="AI97" s="6" t="s">
        <v>605</v>
      </c>
      <c r="AJ97" s="6" t="s">
        <v>32</v>
      </c>
      <c r="AK97" s="6" t="s">
        <v>162</v>
      </c>
    </row>
    <row r="98" spans="1:37" ht="28">
      <c r="A98" s="6" t="str">
        <f t="shared" ref="A98:A129" si="30">B98&amp;"-"&amp;G98</f>
        <v>LAS-2019</v>
      </c>
      <c r="B98" s="6" t="s">
        <v>69</v>
      </c>
      <c r="C98" s="6" t="s">
        <v>70</v>
      </c>
      <c r="D98" s="6" t="s">
        <v>71</v>
      </c>
      <c r="E98" s="6" t="s">
        <v>72</v>
      </c>
      <c r="F98" s="6" t="s">
        <v>31</v>
      </c>
      <c r="G98" s="11">
        <v>2019</v>
      </c>
      <c r="H98" s="9">
        <v>25223715</v>
      </c>
      <c r="I98" s="18">
        <v>537781000</v>
      </c>
      <c r="J98" s="41"/>
      <c r="K98" s="41"/>
      <c r="L98" s="18">
        <v>28565000</v>
      </c>
      <c r="M98" s="18">
        <v>30567000</v>
      </c>
      <c r="N98" s="18">
        <v>42351000</v>
      </c>
      <c r="O98" s="18">
        <v>71893000</v>
      </c>
      <c r="P98" s="41"/>
      <c r="Q98" s="18">
        <v>54095000</v>
      </c>
      <c r="R98" s="41"/>
      <c r="S98" s="41"/>
      <c r="T98" s="18">
        <v>271118000</v>
      </c>
      <c r="U98" s="18">
        <v>76584000</v>
      </c>
      <c r="V98" s="18">
        <v>61409000</v>
      </c>
      <c r="W98" s="18">
        <v>3751690000</v>
      </c>
      <c r="X98" s="18">
        <v>253718000</v>
      </c>
      <c r="Y98" s="18">
        <f t="shared" ref="Y98:Y129" si="31">SUM(L98:S98)</f>
        <v>227471000</v>
      </c>
      <c r="Z98" s="42">
        <f t="shared" ref="Z98:Z129" si="32">IFERROR(Y98/I98,0)</f>
        <v>0.422980730074138</v>
      </c>
      <c r="AA98" s="6" t="str">
        <f t="shared" ref="AA98:AA129" si="33">IF(OR(H98="",I98="",T98="",U98=""),"Yes","No")</f>
        <v>No</v>
      </c>
      <c r="AB98" s="6" t="str">
        <f t="shared" ref="AB98:AB129" si="34">IF(OR(AND(L98&lt;&gt;"",L98=0),AND(M98&lt;&gt;"",M98=0),AND(N98&lt;&gt;"",N98=0),AND(O98&lt;&gt;"",O98=0),AND(Q98&lt;&gt;"",Q98=0)),"Yes","No")</f>
        <v>No</v>
      </c>
      <c r="AC98" s="6" t="str">
        <f t="shared" ref="AC98:AC129" si="35">IF(MIN(L98:O98,Q98)&lt;0,"Yes","No")</f>
        <v>No</v>
      </c>
      <c r="AD98" s="6" t="str">
        <f t="shared" ref="AD98:AD129" si="36">IF(U98&lt;0,"Yes","No")</f>
        <v>No</v>
      </c>
      <c r="AE98" s="6" t="str">
        <f t="shared" ref="AE98:AE129" si="37">IF(COUNTIFS($B$2:$B$187,B98,$G$2:$G$187,G98)&gt;1,"Yes","No")</f>
        <v>No</v>
      </c>
      <c r="AF98" s="6" t="s">
        <v>639</v>
      </c>
      <c r="AG98" s="6" t="str">
        <f t="shared" ref="AG98:AG129" si="38">IF(OR(J98="",K98="",P98="",R98="",S98=""),"Yes","No")</f>
        <v>Yes</v>
      </c>
      <c r="AH98" s="6" t="str">
        <f t="shared" ref="AH98:AH129" si="39">IF(OR(AA98="Yes",AE98="Yes"),"Review - Core/Duplicate",IF(OR(AB98="Yes",AC98="Yes"),"Clean - Flagged","Clean"))</f>
        <v>Clean</v>
      </c>
      <c r="AI98" s="6" t="s">
        <v>602</v>
      </c>
      <c r="AJ98" s="6" t="s">
        <v>32</v>
      </c>
      <c r="AK98" s="6" t="s">
        <v>73</v>
      </c>
    </row>
    <row r="99" spans="1:37" ht="28">
      <c r="A99" s="6" t="str">
        <f t="shared" si="30"/>
        <v>LAS-2020</v>
      </c>
      <c r="B99" s="6" t="s">
        <v>69</v>
      </c>
      <c r="C99" s="6" t="s">
        <v>70</v>
      </c>
      <c r="D99" s="6" t="s">
        <v>71</v>
      </c>
      <c r="E99" s="6" t="s">
        <v>72</v>
      </c>
      <c r="F99" s="6" t="s">
        <v>31</v>
      </c>
      <c r="G99" s="11">
        <v>2020</v>
      </c>
      <c r="H99" s="9">
        <v>19040295</v>
      </c>
      <c r="I99" s="18">
        <v>475703000</v>
      </c>
      <c r="J99" s="41"/>
      <c r="K99" s="41"/>
      <c r="L99" s="18">
        <v>21111000</v>
      </c>
      <c r="M99" s="18">
        <v>22808000</v>
      </c>
      <c r="N99" s="18">
        <v>33879000</v>
      </c>
      <c r="O99" s="18">
        <v>59169000</v>
      </c>
      <c r="P99" s="41"/>
      <c r="Q99" s="18">
        <v>43673000</v>
      </c>
      <c r="R99" s="41"/>
      <c r="S99" s="41"/>
      <c r="T99" s="18">
        <v>278542000</v>
      </c>
      <c r="U99" s="18">
        <v>7324000</v>
      </c>
      <c r="V99" s="18">
        <v>72540000</v>
      </c>
      <c r="W99" s="18">
        <v>3239535000</v>
      </c>
      <c r="X99" s="18">
        <v>243503000</v>
      </c>
      <c r="Y99" s="18">
        <f t="shared" si="31"/>
        <v>180640000</v>
      </c>
      <c r="Z99" s="42">
        <f t="shared" si="32"/>
        <v>0.37973273239815597</v>
      </c>
      <c r="AA99" s="6" t="str">
        <f t="shared" si="33"/>
        <v>No</v>
      </c>
      <c r="AB99" s="6" t="str">
        <f t="shared" si="34"/>
        <v>No</v>
      </c>
      <c r="AC99" s="6" t="str">
        <f t="shared" si="35"/>
        <v>No</v>
      </c>
      <c r="AD99" s="6" t="str">
        <f t="shared" si="36"/>
        <v>No</v>
      </c>
      <c r="AE99" s="6" t="str">
        <f t="shared" si="37"/>
        <v>No</v>
      </c>
      <c r="AF99" s="6" t="s">
        <v>639</v>
      </c>
      <c r="AG99" s="6" t="str">
        <f t="shared" si="38"/>
        <v>Yes</v>
      </c>
      <c r="AH99" s="6" t="str">
        <f t="shared" si="39"/>
        <v>Clean</v>
      </c>
      <c r="AI99" s="6" t="s">
        <v>602</v>
      </c>
      <c r="AJ99" s="6" t="s">
        <v>32</v>
      </c>
      <c r="AK99" s="6" t="s">
        <v>73</v>
      </c>
    </row>
    <row r="100" spans="1:37" ht="28">
      <c r="A100" s="6" t="str">
        <f t="shared" si="30"/>
        <v>LAS-2021</v>
      </c>
      <c r="B100" s="6" t="s">
        <v>69</v>
      </c>
      <c r="C100" s="6" t="s">
        <v>70</v>
      </c>
      <c r="D100" s="6" t="s">
        <v>71</v>
      </c>
      <c r="E100" s="6" t="s">
        <v>72</v>
      </c>
      <c r="F100" s="6" t="s">
        <v>31</v>
      </c>
      <c r="G100" s="11">
        <v>2021</v>
      </c>
      <c r="H100" s="9">
        <v>13187187</v>
      </c>
      <c r="I100" s="18">
        <v>397585000</v>
      </c>
      <c r="J100" s="41"/>
      <c r="K100" s="41"/>
      <c r="L100" s="18">
        <v>12504000</v>
      </c>
      <c r="M100" s="18">
        <v>13302000</v>
      </c>
      <c r="N100" s="18">
        <v>30806000</v>
      </c>
      <c r="O100" s="18">
        <v>46524000</v>
      </c>
      <c r="P100" s="41"/>
      <c r="Q100" s="18">
        <v>28847000</v>
      </c>
      <c r="R100" s="41"/>
      <c r="S100" s="41"/>
      <c r="T100" s="18">
        <v>226541000</v>
      </c>
      <c r="U100" s="18">
        <v>-20137000</v>
      </c>
      <c r="V100" s="18">
        <v>43315000</v>
      </c>
      <c r="W100" s="18">
        <v>3019895000</v>
      </c>
      <c r="X100" s="18">
        <v>220377000</v>
      </c>
      <c r="Y100" s="18">
        <f t="shared" si="31"/>
        <v>131983000</v>
      </c>
      <c r="Z100" s="42">
        <f t="shared" si="32"/>
        <v>0.33196171887772424</v>
      </c>
      <c r="AA100" s="6" t="str">
        <f t="shared" si="33"/>
        <v>No</v>
      </c>
      <c r="AB100" s="6" t="str">
        <f t="shared" si="34"/>
        <v>No</v>
      </c>
      <c r="AC100" s="6" t="str">
        <f t="shared" si="35"/>
        <v>No</v>
      </c>
      <c r="AD100" s="6" t="str">
        <f t="shared" si="36"/>
        <v>Yes</v>
      </c>
      <c r="AE100" s="6" t="str">
        <f t="shared" si="37"/>
        <v>No</v>
      </c>
      <c r="AF100" s="6" t="s">
        <v>639</v>
      </c>
      <c r="AG100" s="6" t="str">
        <f t="shared" si="38"/>
        <v>Yes</v>
      </c>
      <c r="AH100" s="6" t="str">
        <f t="shared" si="39"/>
        <v>Clean</v>
      </c>
      <c r="AI100" s="6" t="s">
        <v>602</v>
      </c>
      <c r="AJ100" s="6" t="s">
        <v>32</v>
      </c>
      <c r="AK100" s="6" t="s">
        <v>73</v>
      </c>
    </row>
    <row r="101" spans="1:37" ht="28">
      <c r="A101" s="6" t="str">
        <f t="shared" si="30"/>
        <v>LAS-2022</v>
      </c>
      <c r="B101" s="6" t="s">
        <v>69</v>
      </c>
      <c r="C101" s="6" t="s">
        <v>70</v>
      </c>
      <c r="D101" s="6" t="s">
        <v>71</v>
      </c>
      <c r="E101" s="6" t="s">
        <v>72</v>
      </c>
      <c r="F101" s="6" t="s">
        <v>31</v>
      </c>
      <c r="G101" s="11">
        <v>2022</v>
      </c>
      <c r="H101" s="9">
        <v>24025401</v>
      </c>
      <c r="I101" s="18">
        <v>487722000</v>
      </c>
      <c r="J101" s="41"/>
      <c r="K101" s="41"/>
      <c r="L101" s="18">
        <v>27693000</v>
      </c>
      <c r="M101" s="18">
        <v>27781000</v>
      </c>
      <c r="N101" s="18">
        <v>50080000</v>
      </c>
      <c r="O101" s="18">
        <v>83159000</v>
      </c>
      <c r="P101" s="41"/>
      <c r="Q101" s="18">
        <v>72774000</v>
      </c>
      <c r="R101" s="41"/>
      <c r="S101" s="41"/>
      <c r="T101" s="18">
        <v>216244000</v>
      </c>
      <c r="U101" s="18">
        <v>75340000</v>
      </c>
      <c r="V101" s="18">
        <v>151422000</v>
      </c>
      <c r="W101" s="18">
        <v>2779475000</v>
      </c>
      <c r="X101" s="18">
        <v>170249000</v>
      </c>
      <c r="Y101" s="18">
        <f t="shared" si="31"/>
        <v>261487000</v>
      </c>
      <c r="Z101" s="42">
        <f t="shared" si="32"/>
        <v>0.53613944009087144</v>
      </c>
      <c r="AA101" s="6" t="str">
        <f t="shared" si="33"/>
        <v>No</v>
      </c>
      <c r="AB101" s="6" t="str">
        <f t="shared" si="34"/>
        <v>No</v>
      </c>
      <c r="AC101" s="6" t="str">
        <f t="shared" si="35"/>
        <v>No</v>
      </c>
      <c r="AD101" s="6" t="str">
        <f t="shared" si="36"/>
        <v>No</v>
      </c>
      <c r="AE101" s="6" t="str">
        <f t="shared" si="37"/>
        <v>No</v>
      </c>
      <c r="AF101" s="6" t="s">
        <v>639</v>
      </c>
      <c r="AG101" s="6" t="str">
        <f t="shared" si="38"/>
        <v>Yes</v>
      </c>
      <c r="AH101" s="6" t="str">
        <f t="shared" si="39"/>
        <v>Clean</v>
      </c>
      <c r="AI101" s="6" t="s">
        <v>602</v>
      </c>
      <c r="AJ101" s="6" t="s">
        <v>32</v>
      </c>
      <c r="AK101" s="6" t="s">
        <v>73</v>
      </c>
    </row>
    <row r="102" spans="1:37" ht="28">
      <c r="A102" s="6" t="str">
        <f t="shared" si="30"/>
        <v>LAS-2023</v>
      </c>
      <c r="B102" s="6" t="s">
        <v>69</v>
      </c>
      <c r="C102" s="6" t="s">
        <v>70</v>
      </c>
      <c r="D102" s="6" t="s">
        <v>71</v>
      </c>
      <c r="E102" s="6" t="s">
        <v>72</v>
      </c>
      <c r="F102" s="6" t="s">
        <v>31</v>
      </c>
      <c r="G102" s="11">
        <v>2023</v>
      </c>
      <c r="H102" s="9">
        <v>28276384</v>
      </c>
      <c r="I102" s="18">
        <v>560700000</v>
      </c>
      <c r="J102" s="41"/>
      <c r="K102" s="41"/>
      <c r="L102" s="18">
        <v>29543000</v>
      </c>
      <c r="M102" s="18">
        <v>29658000</v>
      </c>
      <c r="N102" s="18">
        <v>54253000</v>
      </c>
      <c r="O102" s="18">
        <v>100241000</v>
      </c>
      <c r="P102" s="41"/>
      <c r="Q102" s="18">
        <v>84749000</v>
      </c>
      <c r="R102" s="41"/>
      <c r="S102" s="41"/>
      <c r="T102" s="18">
        <v>296087000</v>
      </c>
      <c r="U102" s="18">
        <v>71205000</v>
      </c>
      <c r="V102" s="18">
        <v>68674000</v>
      </c>
      <c r="W102" s="18">
        <v>2440045000</v>
      </c>
      <c r="X102" s="18">
        <v>202647000</v>
      </c>
      <c r="Y102" s="18">
        <f t="shared" si="31"/>
        <v>298444000</v>
      </c>
      <c r="Z102" s="42">
        <f t="shared" si="32"/>
        <v>0.53227037631532015</v>
      </c>
      <c r="AA102" s="6" t="str">
        <f t="shared" si="33"/>
        <v>No</v>
      </c>
      <c r="AB102" s="6" t="str">
        <f t="shared" si="34"/>
        <v>No</v>
      </c>
      <c r="AC102" s="6" t="str">
        <f t="shared" si="35"/>
        <v>No</v>
      </c>
      <c r="AD102" s="6" t="str">
        <f t="shared" si="36"/>
        <v>No</v>
      </c>
      <c r="AE102" s="6" t="str">
        <f t="shared" si="37"/>
        <v>No</v>
      </c>
      <c r="AF102" s="6" t="s">
        <v>639</v>
      </c>
      <c r="AG102" s="6" t="str">
        <f t="shared" si="38"/>
        <v>Yes</v>
      </c>
      <c r="AH102" s="6" t="str">
        <f t="shared" si="39"/>
        <v>Clean</v>
      </c>
      <c r="AI102" s="6" t="s">
        <v>602</v>
      </c>
      <c r="AJ102" s="6" t="s">
        <v>32</v>
      </c>
      <c r="AK102" s="6" t="s">
        <v>73</v>
      </c>
    </row>
    <row r="103" spans="1:37" ht="28">
      <c r="A103" s="6" t="str">
        <f t="shared" si="30"/>
        <v>LAS-2024</v>
      </c>
      <c r="B103" s="6" t="s">
        <v>69</v>
      </c>
      <c r="C103" s="6" t="s">
        <v>70</v>
      </c>
      <c r="D103" s="6" t="s">
        <v>71</v>
      </c>
      <c r="E103" s="6" t="s">
        <v>72</v>
      </c>
      <c r="F103" s="6" t="s">
        <v>31</v>
      </c>
      <c r="G103" s="11">
        <v>2024</v>
      </c>
      <c r="H103" s="9">
        <v>29145881</v>
      </c>
      <c r="I103" s="18">
        <v>549697000</v>
      </c>
      <c r="J103" s="41"/>
      <c r="K103" s="41"/>
      <c r="L103" s="18">
        <v>37858000</v>
      </c>
      <c r="M103" s="18">
        <v>37084000</v>
      </c>
      <c r="N103" s="18">
        <v>53239000</v>
      </c>
      <c r="O103" s="18">
        <v>105644000</v>
      </c>
      <c r="P103" s="41"/>
      <c r="Q103" s="18">
        <v>94997000</v>
      </c>
      <c r="R103" s="41"/>
      <c r="S103" s="41"/>
      <c r="T103" s="18">
        <v>326789000</v>
      </c>
      <c r="U103" s="18">
        <v>31848000</v>
      </c>
      <c r="V103" s="18">
        <v>511090000</v>
      </c>
      <c r="W103" s="18">
        <v>2408090000</v>
      </c>
      <c r="X103" s="18">
        <v>156323000</v>
      </c>
      <c r="Y103" s="18">
        <f t="shared" si="31"/>
        <v>328822000</v>
      </c>
      <c r="Z103" s="42">
        <f t="shared" si="32"/>
        <v>0.59818772887608995</v>
      </c>
      <c r="AA103" s="6" t="str">
        <f t="shared" si="33"/>
        <v>No</v>
      </c>
      <c r="AB103" s="6" t="str">
        <f t="shared" si="34"/>
        <v>No</v>
      </c>
      <c r="AC103" s="6" t="str">
        <f t="shared" si="35"/>
        <v>No</v>
      </c>
      <c r="AD103" s="6" t="str">
        <f t="shared" si="36"/>
        <v>No</v>
      </c>
      <c r="AE103" s="6" t="str">
        <f t="shared" si="37"/>
        <v>No</v>
      </c>
      <c r="AF103" s="6" t="s">
        <v>639</v>
      </c>
      <c r="AG103" s="6" t="str">
        <f t="shared" si="38"/>
        <v>Yes</v>
      </c>
      <c r="AH103" s="6" t="str">
        <f t="shared" si="39"/>
        <v>Clean</v>
      </c>
      <c r="AI103" s="6" t="s">
        <v>602</v>
      </c>
      <c r="AJ103" s="6" t="s">
        <v>32</v>
      </c>
      <c r="AK103" s="6" t="s">
        <v>73</v>
      </c>
    </row>
    <row r="104" spans="1:37" ht="28">
      <c r="A104" s="6" t="str">
        <f t="shared" si="30"/>
        <v>LAX-2019</v>
      </c>
      <c r="B104" s="6" t="s">
        <v>41</v>
      </c>
      <c r="C104" s="6" t="s">
        <v>42</v>
      </c>
      <c r="D104" s="6" t="s">
        <v>43</v>
      </c>
      <c r="E104" s="6" t="s">
        <v>44</v>
      </c>
      <c r="F104" s="6" t="s">
        <v>31</v>
      </c>
      <c r="G104" s="11">
        <v>2019</v>
      </c>
      <c r="H104" s="9">
        <v>44207464</v>
      </c>
      <c r="I104" s="18">
        <v>1517731000</v>
      </c>
      <c r="J104" s="41"/>
      <c r="K104" s="41"/>
      <c r="L104" s="18">
        <v>58179000</v>
      </c>
      <c r="M104" s="18">
        <v>118176000</v>
      </c>
      <c r="N104" s="18">
        <v>82607000</v>
      </c>
      <c r="O104" s="18">
        <v>189875000</v>
      </c>
      <c r="P104" s="41"/>
      <c r="Q104" s="18">
        <v>52330000</v>
      </c>
      <c r="R104" s="41"/>
      <c r="S104" s="41"/>
      <c r="T104" s="18">
        <v>798374000</v>
      </c>
      <c r="U104" s="18">
        <v>316711000</v>
      </c>
      <c r="V104" s="18">
        <v>1343899000</v>
      </c>
      <c r="W104" s="18">
        <v>7239791000</v>
      </c>
      <c r="X104" s="18">
        <v>777059000</v>
      </c>
      <c r="Y104" s="18">
        <f t="shared" si="31"/>
        <v>501167000</v>
      </c>
      <c r="Z104" s="42">
        <f t="shared" si="32"/>
        <v>0.3302080539963933</v>
      </c>
      <c r="AA104" s="6" t="str">
        <f t="shared" si="33"/>
        <v>No</v>
      </c>
      <c r="AB104" s="6" t="str">
        <f t="shared" si="34"/>
        <v>No</v>
      </c>
      <c r="AC104" s="6" t="str">
        <f t="shared" si="35"/>
        <v>No</v>
      </c>
      <c r="AD104" s="6" t="str">
        <f t="shared" si="36"/>
        <v>No</v>
      </c>
      <c r="AE104" s="6" t="str">
        <f t="shared" si="37"/>
        <v>No</v>
      </c>
      <c r="AF104" s="6" t="s">
        <v>639</v>
      </c>
      <c r="AG104" s="6" t="str">
        <f t="shared" si="38"/>
        <v>Yes</v>
      </c>
      <c r="AH104" s="6" t="str">
        <f t="shared" si="39"/>
        <v>Clean</v>
      </c>
      <c r="AI104" s="6" t="s">
        <v>602</v>
      </c>
      <c r="AJ104" s="6" t="s">
        <v>32</v>
      </c>
      <c r="AK104" s="6" t="s">
        <v>45</v>
      </c>
    </row>
    <row r="105" spans="1:37" ht="28">
      <c r="A105" s="6" t="str">
        <f t="shared" si="30"/>
        <v>LAX-2020</v>
      </c>
      <c r="B105" s="6" t="s">
        <v>41</v>
      </c>
      <c r="C105" s="6" t="s">
        <v>42</v>
      </c>
      <c r="D105" s="6" t="s">
        <v>43</v>
      </c>
      <c r="E105" s="6" t="s">
        <v>44</v>
      </c>
      <c r="F105" s="6" t="s">
        <v>31</v>
      </c>
      <c r="G105" s="11">
        <v>2020</v>
      </c>
      <c r="H105" s="9">
        <v>31429457</v>
      </c>
      <c r="I105" s="18">
        <v>1345112000</v>
      </c>
      <c r="J105" s="41"/>
      <c r="K105" s="41"/>
      <c r="L105" s="18">
        <v>43390000</v>
      </c>
      <c r="M105" s="18">
        <v>80230000</v>
      </c>
      <c r="N105" s="18">
        <v>65181000</v>
      </c>
      <c r="O105" s="18">
        <v>146125000</v>
      </c>
      <c r="P105" s="41"/>
      <c r="Q105" s="18">
        <v>45404000</v>
      </c>
      <c r="R105" s="41"/>
      <c r="S105" s="41"/>
      <c r="T105" s="18">
        <v>888840000</v>
      </c>
      <c r="U105" s="18">
        <v>10385000</v>
      </c>
      <c r="V105" s="18">
        <v>1685625000</v>
      </c>
      <c r="W105" s="18">
        <v>7226367000</v>
      </c>
      <c r="X105" s="18">
        <v>717144000</v>
      </c>
      <c r="Y105" s="18">
        <f t="shared" si="31"/>
        <v>380330000</v>
      </c>
      <c r="Z105" s="42">
        <f t="shared" si="32"/>
        <v>0.28274968924520782</v>
      </c>
      <c r="AA105" s="6" t="str">
        <f t="shared" si="33"/>
        <v>No</v>
      </c>
      <c r="AB105" s="6" t="str">
        <f t="shared" si="34"/>
        <v>No</v>
      </c>
      <c r="AC105" s="6" t="str">
        <f t="shared" si="35"/>
        <v>No</v>
      </c>
      <c r="AD105" s="6" t="str">
        <f t="shared" si="36"/>
        <v>No</v>
      </c>
      <c r="AE105" s="6" t="str">
        <f t="shared" si="37"/>
        <v>No</v>
      </c>
      <c r="AF105" s="6" t="s">
        <v>639</v>
      </c>
      <c r="AG105" s="6" t="str">
        <f t="shared" si="38"/>
        <v>Yes</v>
      </c>
      <c r="AH105" s="6" t="str">
        <f t="shared" si="39"/>
        <v>Clean</v>
      </c>
      <c r="AI105" s="6" t="s">
        <v>602</v>
      </c>
      <c r="AJ105" s="6" t="s">
        <v>32</v>
      </c>
      <c r="AK105" s="6" t="s">
        <v>45</v>
      </c>
    </row>
    <row r="106" spans="1:37" ht="28">
      <c r="A106" s="6" t="str">
        <f t="shared" si="30"/>
        <v>LAX-2021</v>
      </c>
      <c r="B106" s="6" t="s">
        <v>41</v>
      </c>
      <c r="C106" s="6" t="s">
        <v>42</v>
      </c>
      <c r="D106" s="6" t="s">
        <v>43</v>
      </c>
      <c r="E106" s="6" t="s">
        <v>44</v>
      </c>
      <c r="F106" s="6" t="s">
        <v>31</v>
      </c>
      <c r="G106" s="11">
        <v>2021</v>
      </c>
      <c r="H106" s="9">
        <v>14593791</v>
      </c>
      <c r="I106" s="18">
        <v>1051209000</v>
      </c>
      <c r="J106" s="41"/>
      <c r="K106" s="41"/>
      <c r="L106" s="18">
        <v>11987000</v>
      </c>
      <c r="M106" s="18">
        <v>14702000</v>
      </c>
      <c r="N106" s="18">
        <v>33686000</v>
      </c>
      <c r="O106" s="18">
        <v>84389000</v>
      </c>
      <c r="P106" s="41"/>
      <c r="Q106" s="18">
        <v>16658000</v>
      </c>
      <c r="R106" s="41"/>
      <c r="S106" s="41"/>
      <c r="T106" s="18">
        <v>772041000</v>
      </c>
      <c r="U106" s="18">
        <v>-160179000</v>
      </c>
      <c r="V106" s="18">
        <v>2600905000</v>
      </c>
      <c r="W106" s="18">
        <v>8322826000</v>
      </c>
      <c r="X106" s="18">
        <v>638190000</v>
      </c>
      <c r="Y106" s="18">
        <f t="shared" si="31"/>
        <v>161422000</v>
      </c>
      <c r="Z106" s="42">
        <f t="shared" si="32"/>
        <v>0.15355842653554147</v>
      </c>
      <c r="AA106" s="6" t="str">
        <f t="shared" si="33"/>
        <v>No</v>
      </c>
      <c r="AB106" s="6" t="str">
        <f t="shared" si="34"/>
        <v>No</v>
      </c>
      <c r="AC106" s="6" t="str">
        <f t="shared" si="35"/>
        <v>No</v>
      </c>
      <c r="AD106" s="6" t="str">
        <f t="shared" si="36"/>
        <v>Yes</v>
      </c>
      <c r="AE106" s="6" t="str">
        <f t="shared" si="37"/>
        <v>No</v>
      </c>
      <c r="AF106" s="6" t="s">
        <v>639</v>
      </c>
      <c r="AG106" s="6" t="str">
        <f t="shared" si="38"/>
        <v>Yes</v>
      </c>
      <c r="AH106" s="6" t="str">
        <f t="shared" si="39"/>
        <v>Clean</v>
      </c>
      <c r="AI106" s="6" t="s">
        <v>602</v>
      </c>
      <c r="AJ106" s="6" t="s">
        <v>32</v>
      </c>
      <c r="AK106" s="6" t="s">
        <v>45</v>
      </c>
    </row>
    <row r="107" spans="1:37" ht="28">
      <c r="A107" s="6" t="str">
        <f t="shared" si="30"/>
        <v>LAX-2022</v>
      </c>
      <c r="B107" s="6" t="s">
        <v>41</v>
      </c>
      <c r="C107" s="6" t="s">
        <v>42</v>
      </c>
      <c r="D107" s="6" t="s">
        <v>43</v>
      </c>
      <c r="E107" s="6" t="s">
        <v>44</v>
      </c>
      <c r="F107" s="6" t="s">
        <v>31</v>
      </c>
      <c r="G107" s="11">
        <v>2022</v>
      </c>
      <c r="H107" s="9">
        <v>30253056</v>
      </c>
      <c r="I107" s="18">
        <v>1385437000</v>
      </c>
      <c r="J107" s="41"/>
      <c r="K107" s="41"/>
      <c r="L107" s="18">
        <v>34668000</v>
      </c>
      <c r="M107" s="18">
        <v>44958000</v>
      </c>
      <c r="N107" s="18">
        <v>78249000</v>
      </c>
      <c r="O107" s="18">
        <v>166880000</v>
      </c>
      <c r="P107" s="41"/>
      <c r="Q107" s="18">
        <v>41557000</v>
      </c>
      <c r="R107" s="41"/>
      <c r="S107" s="41"/>
      <c r="T107" s="18">
        <v>723951000</v>
      </c>
      <c r="U107" s="18">
        <v>39583000</v>
      </c>
      <c r="V107" s="18">
        <v>1058035000</v>
      </c>
      <c r="W107" s="18">
        <v>9702746000</v>
      </c>
      <c r="X107" s="18">
        <v>769276000</v>
      </c>
      <c r="Y107" s="18">
        <f t="shared" si="31"/>
        <v>366312000</v>
      </c>
      <c r="Z107" s="42">
        <f t="shared" si="32"/>
        <v>0.26440177359201467</v>
      </c>
      <c r="AA107" s="6" t="str">
        <f t="shared" si="33"/>
        <v>No</v>
      </c>
      <c r="AB107" s="6" t="str">
        <f t="shared" si="34"/>
        <v>No</v>
      </c>
      <c r="AC107" s="6" t="str">
        <f t="shared" si="35"/>
        <v>No</v>
      </c>
      <c r="AD107" s="6" t="str">
        <f t="shared" si="36"/>
        <v>No</v>
      </c>
      <c r="AE107" s="6" t="str">
        <f t="shared" si="37"/>
        <v>No</v>
      </c>
      <c r="AF107" s="6" t="s">
        <v>639</v>
      </c>
      <c r="AG107" s="6" t="str">
        <f t="shared" si="38"/>
        <v>Yes</v>
      </c>
      <c r="AH107" s="6" t="str">
        <f t="shared" si="39"/>
        <v>Clean</v>
      </c>
      <c r="AI107" s="6" t="s">
        <v>602</v>
      </c>
      <c r="AJ107" s="6" t="s">
        <v>32</v>
      </c>
      <c r="AK107" s="6" t="s">
        <v>45</v>
      </c>
    </row>
    <row r="108" spans="1:37" ht="28">
      <c r="A108" s="6" t="str">
        <f t="shared" si="30"/>
        <v>LAX-2023</v>
      </c>
      <c r="B108" s="6" t="s">
        <v>41</v>
      </c>
      <c r="C108" s="6" t="s">
        <v>42</v>
      </c>
      <c r="D108" s="6" t="s">
        <v>43</v>
      </c>
      <c r="E108" s="6" t="s">
        <v>44</v>
      </c>
      <c r="F108" s="6" t="s">
        <v>31</v>
      </c>
      <c r="G108" s="11">
        <v>2023</v>
      </c>
      <c r="H108" s="9">
        <v>35525350</v>
      </c>
      <c r="I108" s="18">
        <v>1730329000</v>
      </c>
      <c r="J108" s="41"/>
      <c r="K108" s="41"/>
      <c r="L108" s="18">
        <v>48295000</v>
      </c>
      <c r="M108" s="18">
        <v>65670000</v>
      </c>
      <c r="N108" s="18">
        <v>83827000</v>
      </c>
      <c r="O108" s="18">
        <v>205600000</v>
      </c>
      <c r="P108" s="41"/>
      <c r="Q108" s="18">
        <v>44086000</v>
      </c>
      <c r="R108" s="41"/>
      <c r="S108" s="41"/>
      <c r="T108" s="18">
        <v>832384000</v>
      </c>
      <c r="U108" s="18">
        <v>208179000</v>
      </c>
      <c r="V108" s="18">
        <v>2254326000</v>
      </c>
      <c r="W108" s="18">
        <v>11337226000</v>
      </c>
      <c r="X108" s="18">
        <v>1024547000</v>
      </c>
      <c r="Y108" s="18">
        <f t="shared" si="31"/>
        <v>447478000</v>
      </c>
      <c r="Z108" s="42">
        <f t="shared" si="32"/>
        <v>0.25860862298441512</v>
      </c>
      <c r="AA108" s="6" t="str">
        <f t="shared" si="33"/>
        <v>No</v>
      </c>
      <c r="AB108" s="6" t="str">
        <f t="shared" si="34"/>
        <v>No</v>
      </c>
      <c r="AC108" s="6" t="str">
        <f t="shared" si="35"/>
        <v>No</v>
      </c>
      <c r="AD108" s="6" t="str">
        <f t="shared" si="36"/>
        <v>No</v>
      </c>
      <c r="AE108" s="6" t="str">
        <f t="shared" si="37"/>
        <v>No</v>
      </c>
      <c r="AF108" s="6" t="s">
        <v>639</v>
      </c>
      <c r="AG108" s="6" t="str">
        <f t="shared" si="38"/>
        <v>Yes</v>
      </c>
      <c r="AH108" s="6" t="str">
        <f t="shared" si="39"/>
        <v>Clean</v>
      </c>
      <c r="AI108" s="6" t="s">
        <v>602</v>
      </c>
      <c r="AJ108" s="6" t="s">
        <v>32</v>
      </c>
      <c r="AK108" s="6" t="s">
        <v>45</v>
      </c>
    </row>
    <row r="109" spans="1:37" ht="28">
      <c r="A109" s="6" t="str">
        <f t="shared" si="30"/>
        <v>LAX-2024</v>
      </c>
      <c r="B109" s="6" t="s">
        <v>41</v>
      </c>
      <c r="C109" s="6" t="s">
        <v>42</v>
      </c>
      <c r="D109" s="6" t="s">
        <v>43</v>
      </c>
      <c r="E109" s="6" t="s">
        <v>44</v>
      </c>
      <c r="F109" s="6" t="s">
        <v>31</v>
      </c>
      <c r="G109" s="11">
        <v>2024</v>
      </c>
      <c r="H109" s="9">
        <v>38339553</v>
      </c>
      <c r="I109" s="18">
        <v>1929017000</v>
      </c>
      <c r="J109" s="41"/>
      <c r="K109" s="41"/>
      <c r="L109" s="18">
        <v>50814000</v>
      </c>
      <c r="M109" s="18">
        <v>97257000</v>
      </c>
      <c r="N109" s="18">
        <v>82795000</v>
      </c>
      <c r="O109" s="18">
        <v>230851000</v>
      </c>
      <c r="P109" s="41"/>
      <c r="Q109" s="18">
        <v>50677000</v>
      </c>
      <c r="R109" s="41"/>
      <c r="S109" s="41"/>
      <c r="T109" s="18">
        <v>939987000</v>
      </c>
      <c r="U109" s="18">
        <v>231398000</v>
      </c>
      <c r="V109" s="18">
        <v>1889873000</v>
      </c>
      <c r="W109" s="18">
        <v>11771377000</v>
      </c>
      <c r="X109" s="18">
        <v>1156406000</v>
      </c>
      <c r="Y109" s="18">
        <f t="shared" si="31"/>
        <v>512394000</v>
      </c>
      <c r="Z109" s="42">
        <f t="shared" si="32"/>
        <v>0.26562440870142667</v>
      </c>
      <c r="AA109" s="6" t="str">
        <f t="shared" si="33"/>
        <v>No</v>
      </c>
      <c r="AB109" s="6" t="str">
        <f t="shared" si="34"/>
        <v>No</v>
      </c>
      <c r="AC109" s="6" t="str">
        <f t="shared" si="35"/>
        <v>No</v>
      </c>
      <c r="AD109" s="6" t="str">
        <f t="shared" si="36"/>
        <v>No</v>
      </c>
      <c r="AE109" s="6" t="str">
        <f t="shared" si="37"/>
        <v>No</v>
      </c>
      <c r="AF109" s="6" t="s">
        <v>639</v>
      </c>
      <c r="AG109" s="6" t="str">
        <f t="shared" si="38"/>
        <v>Yes</v>
      </c>
      <c r="AH109" s="6" t="str">
        <f t="shared" si="39"/>
        <v>Clean</v>
      </c>
      <c r="AI109" s="6" t="s">
        <v>602</v>
      </c>
      <c r="AJ109" s="6" t="s">
        <v>32</v>
      </c>
      <c r="AK109" s="6" t="s">
        <v>45</v>
      </c>
    </row>
    <row r="110" spans="1:37" ht="28">
      <c r="A110" s="6" t="str">
        <f t="shared" si="30"/>
        <v>LGA-2019</v>
      </c>
      <c r="B110" s="6" t="s">
        <v>170</v>
      </c>
      <c r="C110" s="6" t="s">
        <v>376</v>
      </c>
      <c r="D110" s="6" t="s">
        <v>160</v>
      </c>
      <c r="E110" s="6" t="s">
        <v>161</v>
      </c>
      <c r="F110" s="6" t="s">
        <v>31</v>
      </c>
      <c r="G110" s="11">
        <v>2019</v>
      </c>
      <c r="H110" s="9">
        <v>15542447</v>
      </c>
      <c r="I110" s="18">
        <v>429046000</v>
      </c>
      <c r="J110" s="41"/>
      <c r="K110" s="41"/>
      <c r="L110" s="18">
        <v>1351000</v>
      </c>
      <c r="M110" s="18">
        <v>3005000</v>
      </c>
      <c r="N110" s="18">
        <v>15476000</v>
      </c>
      <c r="O110" s="18">
        <v>41928000</v>
      </c>
      <c r="P110" s="41"/>
      <c r="Q110" s="18">
        <v>234000</v>
      </c>
      <c r="R110" s="41"/>
      <c r="S110" s="41"/>
      <c r="T110" s="18">
        <v>370045000</v>
      </c>
      <c r="U110" s="18">
        <v>-65008000</v>
      </c>
      <c r="V110" s="18">
        <v>732177000</v>
      </c>
      <c r="W110" s="18"/>
      <c r="X110" s="18">
        <v>318825000</v>
      </c>
      <c r="Y110" s="18">
        <f t="shared" si="31"/>
        <v>61994000</v>
      </c>
      <c r="Z110" s="42">
        <f t="shared" si="32"/>
        <v>0.14449266512215472</v>
      </c>
      <c r="AA110" s="6" t="str">
        <f t="shared" si="33"/>
        <v>No</v>
      </c>
      <c r="AB110" s="6" t="str">
        <f t="shared" si="34"/>
        <v>No</v>
      </c>
      <c r="AC110" s="6" t="str">
        <f t="shared" si="35"/>
        <v>No</v>
      </c>
      <c r="AD110" s="6" t="str">
        <f t="shared" si="36"/>
        <v>Yes</v>
      </c>
      <c r="AE110" s="6" t="str">
        <f t="shared" si="37"/>
        <v>No</v>
      </c>
      <c r="AF110" s="6" t="s">
        <v>640</v>
      </c>
      <c r="AG110" s="6" t="str">
        <f t="shared" si="38"/>
        <v>Yes</v>
      </c>
      <c r="AH110" s="6" t="str">
        <f t="shared" si="39"/>
        <v>Clean</v>
      </c>
      <c r="AI110" s="6" t="s">
        <v>605</v>
      </c>
      <c r="AJ110" s="6" t="s">
        <v>32</v>
      </c>
      <c r="AK110" s="6" t="s">
        <v>172</v>
      </c>
    </row>
    <row r="111" spans="1:37" ht="28">
      <c r="A111" s="6" t="str">
        <f t="shared" si="30"/>
        <v>LGA-2020</v>
      </c>
      <c r="B111" s="6" t="s">
        <v>170</v>
      </c>
      <c r="C111" s="6" t="s">
        <v>376</v>
      </c>
      <c r="D111" s="6" t="s">
        <v>160</v>
      </c>
      <c r="E111" s="6" t="s">
        <v>161</v>
      </c>
      <c r="F111" s="6" t="s">
        <v>31</v>
      </c>
      <c r="G111" s="11">
        <v>2020</v>
      </c>
      <c r="H111" s="9">
        <v>4184418</v>
      </c>
      <c r="I111" s="18">
        <v>326552000</v>
      </c>
      <c r="J111" s="41"/>
      <c r="K111" s="41"/>
      <c r="L111" s="18">
        <v>559000</v>
      </c>
      <c r="M111" s="18">
        <v>988000</v>
      </c>
      <c r="N111" s="18">
        <v>9386000</v>
      </c>
      <c r="O111" s="18">
        <v>23878000</v>
      </c>
      <c r="P111" s="41"/>
      <c r="Q111" s="18">
        <v>606000</v>
      </c>
      <c r="R111" s="41"/>
      <c r="S111" s="41"/>
      <c r="T111" s="18">
        <v>342727000</v>
      </c>
      <c r="U111" s="18">
        <v>-184847000</v>
      </c>
      <c r="V111" s="18">
        <v>433558000</v>
      </c>
      <c r="W111" s="18"/>
      <c r="X111" s="18">
        <v>259370000</v>
      </c>
      <c r="Y111" s="18">
        <f t="shared" si="31"/>
        <v>35417000</v>
      </c>
      <c r="Z111" s="42">
        <f t="shared" si="32"/>
        <v>0.10845745853646586</v>
      </c>
      <c r="AA111" s="6" t="str">
        <f t="shared" si="33"/>
        <v>No</v>
      </c>
      <c r="AB111" s="6" t="str">
        <f t="shared" si="34"/>
        <v>No</v>
      </c>
      <c r="AC111" s="6" t="str">
        <f t="shared" si="35"/>
        <v>No</v>
      </c>
      <c r="AD111" s="6" t="str">
        <f t="shared" si="36"/>
        <v>Yes</v>
      </c>
      <c r="AE111" s="6" t="str">
        <f t="shared" si="37"/>
        <v>No</v>
      </c>
      <c r="AF111" s="6" t="s">
        <v>640</v>
      </c>
      <c r="AG111" s="6" t="str">
        <f t="shared" si="38"/>
        <v>Yes</v>
      </c>
      <c r="AH111" s="6" t="str">
        <f t="shared" si="39"/>
        <v>Clean</v>
      </c>
      <c r="AI111" s="6" t="s">
        <v>605</v>
      </c>
      <c r="AJ111" s="6" t="s">
        <v>32</v>
      </c>
      <c r="AK111" s="6" t="s">
        <v>172</v>
      </c>
    </row>
    <row r="112" spans="1:37" ht="28">
      <c r="A112" s="6" t="str">
        <f t="shared" si="30"/>
        <v>LGA-2021</v>
      </c>
      <c r="B112" s="6" t="s">
        <v>170</v>
      </c>
      <c r="C112" s="6" t="s">
        <v>376</v>
      </c>
      <c r="D112" s="6" t="s">
        <v>160</v>
      </c>
      <c r="E112" s="6" t="s">
        <v>161</v>
      </c>
      <c r="F112" s="6" t="s">
        <v>31</v>
      </c>
      <c r="G112" s="11">
        <v>2021</v>
      </c>
      <c r="H112" s="9">
        <v>7870201</v>
      </c>
      <c r="I112" s="18">
        <v>391705000</v>
      </c>
      <c r="J112" s="41"/>
      <c r="K112" s="41"/>
      <c r="L112" s="18">
        <v>945000</v>
      </c>
      <c r="M112" s="18">
        <v>1710000</v>
      </c>
      <c r="N112" s="18">
        <v>13804000</v>
      </c>
      <c r="O112" s="18">
        <v>47769000</v>
      </c>
      <c r="P112" s="41"/>
      <c r="Q112" s="18">
        <v>354000</v>
      </c>
      <c r="R112" s="41"/>
      <c r="S112" s="41"/>
      <c r="T112" s="18">
        <v>313622000</v>
      </c>
      <c r="U112" s="18">
        <v>-116674000</v>
      </c>
      <c r="V112" s="18">
        <v>362179000</v>
      </c>
      <c r="W112" s="18"/>
      <c r="X112" s="18">
        <v>285282000</v>
      </c>
      <c r="Y112" s="18">
        <f t="shared" si="31"/>
        <v>64582000</v>
      </c>
      <c r="Z112" s="42">
        <f t="shared" si="32"/>
        <v>0.16487407615424873</v>
      </c>
      <c r="AA112" s="6" t="str">
        <f t="shared" si="33"/>
        <v>No</v>
      </c>
      <c r="AB112" s="6" t="str">
        <f t="shared" si="34"/>
        <v>No</v>
      </c>
      <c r="AC112" s="6" t="str">
        <f t="shared" si="35"/>
        <v>No</v>
      </c>
      <c r="AD112" s="6" t="str">
        <f t="shared" si="36"/>
        <v>Yes</v>
      </c>
      <c r="AE112" s="6" t="str">
        <f t="shared" si="37"/>
        <v>No</v>
      </c>
      <c r="AF112" s="6" t="s">
        <v>640</v>
      </c>
      <c r="AG112" s="6" t="str">
        <f t="shared" si="38"/>
        <v>Yes</v>
      </c>
      <c r="AH112" s="6" t="str">
        <f t="shared" si="39"/>
        <v>Clean</v>
      </c>
      <c r="AI112" s="6" t="s">
        <v>605</v>
      </c>
      <c r="AJ112" s="6" t="s">
        <v>32</v>
      </c>
      <c r="AK112" s="6" t="s">
        <v>172</v>
      </c>
    </row>
    <row r="113" spans="1:37" ht="28">
      <c r="A113" s="6" t="str">
        <f t="shared" si="30"/>
        <v>LGA-2022</v>
      </c>
      <c r="B113" s="6" t="s">
        <v>170</v>
      </c>
      <c r="C113" s="6" t="s">
        <v>376</v>
      </c>
      <c r="D113" s="6" t="s">
        <v>160</v>
      </c>
      <c r="E113" s="6" t="s">
        <v>161</v>
      </c>
      <c r="F113" s="6" t="s">
        <v>31</v>
      </c>
      <c r="G113" s="11">
        <v>2022</v>
      </c>
      <c r="H113" s="9">
        <v>14453348</v>
      </c>
      <c r="I113" s="18">
        <v>526043000</v>
      </c>
      <c r="J113" s="41"/>
      <c r="K113" s="41"/>
      <c r="L113" s="18">
        <v>2968000</v>
      </c>
      <c r="M113" s="18">
        <v>1663000</v>
      </c>
      <c r="N113" s="18">
        <v>18225000</v>
      </c>
      <c r="O113" s="18">
        <v>79947000</v>
      </c>
      <c r="P113" s="41"/>
      <c r="Q113" s="18">
        <v>333000</v>
      </c>
      <c r="R113" s="41"/>
      <c r="S113" s="41"/>
      <c r="T113" s="18">
        <v>372416000</v>
      </c>
      <c r="U113" s="18">
        <v>-113745000</v>
      </c>
      <c r="V113" s="18">
        <v>476148000</v>
      </c>
      <c r="W113" s="18"/>
      <c r="X113" s="18">
        <v>374476000</v>
      </c>
      <c r="Y113" s="18">
        <f t="shared" si="31"/>
        <v>103136000</v>
      </c>
      <c r="Z113" s="42">
        <f t="shared" si="32"/>
        <v>0.19606001790728134</v>
      </c>
      <c r="AA113" s="6" t="str">
        <f t="shared" si="33"/>
        <v>No</v>
      </c>
      <c r="AB113" s="6" t="str">
        <f t="shared" si="34"/>
        <v>No</v>
      </c>
      <c r="AC113" s="6" t="str">
        <f t="shared" si="35"/>
        <v>No</v>
      </c>
      <c r="AD113" s="6" t="str">
        <f t="shared" si="36"/>
        <v>Yes</v>
      </c>
      <c r="AE113" s="6" t="str">
        <f t="shared" si="37"/>
        <v>No</v>
      </c>
      <c r="AF113" s="6" t="s">
        <v>640</v>
      </c>
      <c r="AG113" s="6" t="str">
        <f t="shared" si="38"/>
        <v>Yes</v>
      </c>
      <c r="AH113" s="6" t="str">
        <f t="shared" si="39"/>
        <v>Clean</v>
      </c>
      <c r="AI113" s="6" t="s">
        <v>605</v>
      </c>
      <c r="AJ113" s="6" t="s">
        <v>32</v>
      </c>
      <c r="AK113" s="6" t="s">
        <v>172</v>
      </c>
    </row>
    <row r="114" spans="1:37" ht="28">
      <c r="A114" s="6" t="str">
        <f t="shared" si="30"/>
        <v>LGA-2023</v>
      </c>
      <c r="B114" s="6" t="s">
        <v>170</v>
      </c>
      <c r="C114" s="6" t="s">
        <v>376</v>
      </c>
      <c r="D114" s="6" t="s">
        <v>160</v>
      </c>
      <c r="E114" s="6" t="s">
        <v>161</v>
      </c>
      <c r="F114" s="6" t="s">
        <v>31</v>
      </c>
      <c r="G114" s="11">
        <v>2023</v>
      </c>
      <c r="H114" s="9">
        <v>16172875</v>
      </c>
      <c r="I114" s="18">
        <v>544156000</v>
      </c>
      <c r="J114" s="41"/>
      <c r="K114" s="41"/>
      <c r="L114" s="18">
        <v>5006000</v>
      </c>
      <c r="M114" s="18">
        <v>1777000</v>
      </c>
      <c r="N114" s="18">
        <v>18747000</v>
      </c>
      <c r="O114" s="18">
        <v>92401000</v>
      </c>
      <c r="P114" s="41"/>
      <c r="Q114" s="18">
        <v>336000</v>
      </c>
      <c r="R114" s="41"/>
      <c r="S114" s="41"/>
      <c r="T114" s="18">
        <v>447274000</v>
      </c>
      <c r="U114" s="18">
        <v>-120330000</v>
      </c>
      <c r="V114" s="18">
        <v>96927000</v>
      </c>
      <c r="W114" s="18"/>
      <c r="X114" s="18">
        <v>370260000</v>
      </c>
      <c r="Y114" s="18">
        <f t="shared" si="31"/>
        <v>118267000</v>
      </c>
      <c r="Z114" s="42">
        <f t="shared" si="32"/>
        <v>0.21734024801711274</v>
      </c>
      <c r="AA114" s="6" t="str">
        <f t="shared" si="33"/>
        <v>No</v>
      </c>
      <c r="AB114" s="6" t="str">
        <f t="shared" si="34"/>
        <v>No</v>
      </c>
      <c r="AC114" s="6" t="str">
        <f t="shared" si="35"/>
        <v>No</v>
      </c>
      <c r="AD114" s="6" t="str">
        <f t="shared" si="36"/>
        <v>Yes</v>
      </c>
      <c r="AE114" s="6" t="str">
        <f t="shared" si="37"/>
        <v>No</v>
      </c>
      <c r="AF114" s="6" t="s">
        <v>640</v>
      </c>
      <c r="AG114" s="6" t="str">
        <f t="shared" si="38"/>
        <v>Yes</v>
      </c>
      <c r="AH114" s="6" t="str">
        <f t="shared" si="39"/>
        <v>Clean</v>
      </c>
      <c r="AI114" s="6" t="s">
        <v>605</v>
      </c>
      <c r="AJ114" s="6" t="s">
        <v>32</v>
      </c>
      <c r="AK114" s="6" t="s">
        <v>172</v>
      </c>
    </row>
    <row r="115" spans="1:37" ht="28">
      <c r="A115" s="6" t="str">
        <f t="shared" si="30"/>
        <v>LGA-2024</v>
      </c>
      <c r="B115" s="6" t="s">
        <v>170</v>
      </c>
      <c r="C115" s="6" t="s">
        <v>376</v>
      </c>
      <c r="D115" s="6" t="s">
        <v>160</v>
      </c>
      <c r="E115" s="6" t="s">
        <v>161</v>
      </c>
      <c r="F115" s="6" t="s">
        <v>31</v>
      </c>
      <c r="G115" s="11">
        <v>2024</v>
      </c>
      <c r="H115" s="9">
        <v>16771972</v>
      </c>
      <c r="I115" s="18">
        <v>579390000</v>
      </c>
      <c r="J115" s="41"/>
      <c r="K115" s="41"/>
      <c r="L115" s="18">
        <v>7327000</v>
      </c>
      <c r="M115" s="18">
        <v>3313000</v>
      </c>
      <c r="N115" s="18">
        <v>19271000</v>
      </c>
      <c r="O115" s="18">
        <v>94983000</v>
      </c>
      <c r="P115" s="41"/>
      <c r="Q115" s="18">
        <v>287000</v>
      </c>
      <c r="R115" s="41"/>
      <c r="S115" s="41"/>
      <c r="T115" s="18">
        <v>461223000</v>
      </c>
      <c r="U115" s="18">
        <v>-104238000</v>
      </c>
      <c r="V115" s="18">
        <v>80847000</v>
      </c>
      <c r="W115" s="18"/>
      <c r="X115" s="18">
        <v>389160000</v>
      </c>
      <c r="Y115" s="18">
        <f t="shared" si="31"/>
        <v>125181000</v>
      </c>
      <c r="Z115" s="42">
        <f t="shared" si="32"/>
        <v>0.21605654222544401</v>
      </c>
      <c r="AA115" s="6" t="str">
        <f t="shared" si="33"/>
        <v>No</v>
      </c>
      <c r="AB115" s="6" t="str">
        <f t="shared" si="34"/>
        <v>No</v>
      </c>
      <c r="AC115" s="6" t="str">
        <f t="shared" si="35"/>
        <v>No</v>
      </c>
      <c r="AD115" s="6" t="str">
        <f t="shared" si="36"/>
        <v>Yes</v>
      </c>
      <c r="AE115" s="6" t="str">
        <f t="shared" si="37"/>
        <v>No</v>
      </c>
      <c r="AF115" s="6" t="s">
        <v>640</v>
      </c>
      <c r="AG115" s="6" t="str">
        <f t="shared" si="38"/>
        <v>Yes</v>
      </c>
      <c r="AH115" s="6" t="str">
        <f t="shared" si="39"/>
        <v>Clean</v>
      </c>
      <c r="AI115" s="6" t="s">
        <v>605</v>
      </c>
      <c r="AJ115" s="6" t="s">
        <v>32</v>
      </c>
      <c r="AK115" s="6" t="s">
        <v>172</v>
      </c>
    </row>
    <row r="116" spans="1:37" ht="28">
      <c r="A116" s="6" t="str">
        <f t="shared" si="30"/>
        <v>MCO-2019</v>
      </c>
      <c r="B116" s="6" t="s">
        <v>92</v>
      </c>
      <c r="C116" s="6" t="s">
        <v>93</v>
      </c>
      <c r="D116" s="6" t="s">
        <v>94</v>
      </c>
      <c r="E116" s="6" t="s">
        <v>82</v>
      </c>
      <c r="F116" s="6" t="s">
        <v>31</v>
      </c>
      <c r="G116" s="11">
        <v>2019</v>
      </c>
      <c r="H116" s="9">
        <v>24846842</v>
      </c>
      <c r="I116" s="18">
        <v>501031000</v>
      </c>
      <c r="J116" s="41"/>
      <c r="K116" s="41"/>
      <c r="L116" s="18">
        <v>31553000</v>
      </c>
      <c r="M116" s="18">
        <v>21513000</v>
      </c>
      <c r="N116" s="18">
        <v>107254000</v>
      </c>
      <c r="O116" s="18">
        <v>93122000</v>
      </c>
      <c r="P116" s="41"/>
      <c r="Q116" s="18">
        <v>18792000</v>
      </c>
      <c r="R116" s="41"/>
      <c r="S116" s="41"/>
      <c r="T116" s="18">
        <v>326069000</v>
      </c>
      <c r="U116" s="18">
        <v>-6072000</v>
      </c>
      <c r="V116" s="18">
        <v>720989000</v>
      </c>
      <c r="W116" s="18">
        <v>2424672000</v>
      </c>
      <c r="X116" s="18">
        <v>141526000</v>
      </c>
      <c r="Y116" s="18">
        <f t="shared" si="31"/>
        <v>272234000</v>
      </c>
      <c r="Z116" s="42">
        <f t="shared" si="32"/>
        <v>0.54334761721330616</v>
      </c>
      <c r="AA116" s="6" t="str">
        <f t="shared" si="33"/>
        <v>No</v>
      </c>
      <c r="AB116" s="6" t="str">
        <f t="shared" si="34"/>
        <v>No</v>
      </c>
      <c r="AC116" s="6" t="str">
        <f t="shared" si="35"/>
        <v>No</v>
      </c>
      <c r="AD116" s="6" t="str">
        <f t="shared" si="36"/>
        <v>Yes</v>
      </c>
      <c r="AE116" s="6" t="str">
        <f t="shared" si="37"/>
        <v>No</v>
      </c>
      <c r="AF116" s="6" t="s">
        <v>639</v>
      </c>
      <c r="AG116" s="6" t="str">
        <f t="shared" si="38"/>
        <v>Yes</v>
      </c>
      <c r="AH116" s="6" t="str">
        <f t="shared" si="39"/>
        <v>Clean</v>
      </c>
      <c r="AI116" s="6" t="s">
        <v>602</v>
      </c>
      <c r="AJ116" s="6" t="s">
        <v>32</v>
      </c>
      <c r="AK116" s="6" t="s">
        <v>95</v>
      </c>
    </row>
    <row r="117" spans="1:37" ht="28">
      <c r="A117" s="6" t="str">
        <f t="shared" si="30"/>
        <v>MCO-2020</v>
      </c>
      <c r="B117" s="6" t="s">
        <v>92</v>
      </c>
      <c r="C117" s="6" t="s">
        <v>93</v>
      </c>
      <c r="D117" s="6" t="s">
        <v>94</v>
      </c>
      <c r="E117" s="6" t="s">
        <v>82</v>
      </c>
      <c r="F117" s="6" t="s">
        <v>31</v>
      </c>
      <c r="G117" s="11">
        <v>2020</v>
      </c>
      <c r="H117" s="9">
        <v>14538126</v>
      </c>
      <c r="I117" s="18">
        <v>434226000</v>
      </c>
      <c r="J117" s="41"/>
      <c r="K117" s="41"/>
      <c r="L117" s="18">
        <v>21489000</v>
      </c>
      <c r="M117" s="18">
        <v>13911000</v>
      </c>
      <c r="N117" s="18">
        <v>87741000</v>
      </c>
      <c r="O117" s="18">
        <v>56345000</v>
      </c>
      <c r="P117" s="41"/>
      <c r="Q117" s="18">
        <v>15157000</v>
      </c>
      <c r="R117" s="41"/>
      <c r="S117" s="41"/>
      <c r="T117" s="18">
        <v>283657000</v>
      </c>
      <c r="U117" s="18">
        <v>-38151000</v>
      </c>
      <c r="V117" s="18">
        <v>973288000</v>
      </c>
      <c r="W117" s="18">
        <v>3193491000</v>
      </c>
      <c r="X117" s="18">
        <v>170283000</v>
      </c>
      <c r="Y117" s="18">
        <f t="shared" si="31"/>
        <v>194643000</v>
      </c>
      <c r="Z117" s="42">
        <f t="shared" si="32"/>
        <v>0.44825275317461416</v>
      </c>
      <c r="AA117" s="6" t="str">
        <f t="shared" si="33"/>
        <v>No</v>
      </c>
      <c r="AB117" s="6" t="str">
        <f t="shared" si="34"/>
        <v>No</v>
      </c>
      <c r="AC117" s="6" t="str">
        <f t="shared" si="35"/>
        <v>No</v>
      </c>
      <c r="AD117" s="6" t="str">
        <f t="shared" si="36"/>
        <v>Yes</v>
      </c>
      <c r="AE117" s="6" t="str">
        <f t="shared" si="37"/>
        <v>No</v>
      </c>
      <c r="AF117" s="6" t="s">
        <v>639</v>
      </c>
      <c r="AG117" s="6" t="str">
        <f t="shared" si="38"/>
        <v>Yes</v>
      </c>
      <c r="AH117" s="6" t="str">
        <f t="shared" si="39"/>
        <v>Clean</v>
      </c>
      <c r="AI117" s="6" t="s">
        <v>602</v>
      </c>
      <c r="AJ117" s="6" t="s">
        <v>32</v>
      </c>
      <c r="AK117" s="6" t="s">
        <v>95</v>
      </c>
    </row>
    <row r="118" spans="1:37" ht="28">
      <c r="A118" s="6" t="str">
        <f t="shared" si="30"/>
        <v>MCO-2021</v>
      </c>
      <c r="B118" s="6" t="s">
        <v>92</v>
      </c>
      <c r="C118" s="6" t="s">
        <v>93</v>
      </c>
      <c r="D118" s="6" t="s">
        <v>94</v>
      </c>
      <c r="E118" s="6" t="s">
        <v>82</v>
      </c>
      <c r="F118" s="6" t="s">
        <v>31</v>
      </c>
      <c r="G118" s="11">
        <v>2021</v>
      </c>
      <c r="H118" s="9">
        <v>16984242</v>
      </c>
      <c r="I118" s="18">
        <v>396006000</v>
      </c>
      <c r="J118" s="41"/>
      <c r="K118" s="41"/>
      <c r="L118" s="18">
        <v>22289000</v>
      </c>
      <c r="M118" s="18">
        <v>12117000</v>
      </c>
      <c r="N118" s="18">
        <v>92927000</v>
      </c>
      <c r="O118" s="18">
        <v>59235000</v>
      </c>
      <c r="P118" s="41"/>
      <c r="Q118" s="18">
        <v>12471000</v>
      </c>
      <c r="R118" s="41"/>
      <c r="S118" s="41"/>
      <c r="T118" s="18">
        <v>255221000</v>
      </c>
      <c r="U118" s="18">
        <v>-41564000</v>
      </c>
      <c r="V118" s="18">
        <v>626480000</v>
      </c>
      <c r="W118" s="18">
        <v>3132861000</v>
      </c>
      <c r="X118" s="18">
        <v>131021000</v>
      </c>
      <c r="Y118" s="18">
        <f t="shared" si="31"/>
        <v>199039000</v>
      </c>
      <c r="Z118" s="42">
        <f t="shared" si="32"/>
        <v>0.5026161219779498</v>
      </c>
      <c r="AA118" s="6" t="str">
        <f t="shared" si="33"/>
        <v>No</v>
      </c>
      <c r="AB118" s="6" t="str">
        <f t="shared" si="34"/>
        <v>No</v>
      </c>
      <c r="AC118" s="6" t="str">
        <f t="shared" si="35"/>
        <v>No</v>
      </c>
      <c r="AD118" s="6" t="str">
        <f t="shared" si="36"/>
        <v>Yes</v>
      </c>
      <c r="AE118" s="6" t="str">
        <f t="shared" si="37"/>
        <v>No</v>
      </c>
      <c r="AF118" s="6" t="s">
        <v>639</v>
      </c>
      <c r="AG118" s="6" t="str">
        <f t="shared" si="38"/>
        <v>Yes</v>
      </c>
      <c r="AH118" s="6" t="str">
        <f t="shared" si="39"/>
        <v>Clean</v>
      </c>
      <c r="AI118" s="6" t="s">
        <v>602</v>
      </c>
      <c r="AJ118" s="6" t="s">
        <v>32</v>
      </c>
      <c r="AK118" s="6" t="s">
        <v>95</v>
      </c>
    </row>
    <row r="119" spans="1:37" ht="28">
      <c r="A119" s="6" t="str">
        <f t="shared" si="30"/>
        <v>MCO-2022</v>
      </c>
      <c r="B119" s="6" t="s">
        <v>92</v>
      </c>
      <c r="C119" s="6" t="s">
        <v>93</v>
      </c>
      <c r="D119" s="6" t="s">
        <v>94</v>
      </c>
      <c r="E119" s="6" t="s">
        <v>82</v>
      </c>
      <c r="F119" s="6" t="s">
        <v>31</v>
      </c>
      <c r="G119" s="11">
        <v>2022</v>
      </c>
      <c r="H119" s="9">
        <v>24220932</v>
      </c>
      <c r="I119" s="18">
        <v>510017000</v>
      </c>
      <c r="J119" s="41"/>
      <c r="K119" s="41"/>
      <c r="L119" s="18">
        <v>28594000</v>
      </c>
      <c r="M119" s="18">
        <v>16879000</v>
      </c>
      <c r="N119" s="18">
        <v>130762000</v>
      </c>
      <c r="O119" s="18">
        <v>97899000</v>
      </c>
      <c r="P119" s="41"/>
      <c r="Q119" s="18">
        <v>16394000</v>
      </c>
      <c r="R119" s="41"/>
      <c r="S119" s="41"/>
      <c r="T119" s="18">
        <v>312883000</v>
      </c>
      <c r="U119" s="18">
        <v>28373000</v>
      </c>
      <c r="V119" s="18">
        <v>400063000</v>
      </c>
      <c r="W119" s="18">
        <v>2965011000</v>
      </c>
      <c r="X119" s="18">
        <v>118825000</v>
      </c>
      <c r="Y119" s="18">
        <f t="shared" si="31"/>
        <v>290528000</v>
      </c>
      <c r="Z119" s="42">
        <f t="shared" si="32"/>
        <v>0.56964375697280678</v>
      </c>
      <c r="AA119" s="6" t="str">
        <f t="shared" si="33"/>
        <v>No</v>
      </c>
      <c r="AB119" s="6" t="str">
        <f t="shared" si="34"/>
        <v>No</v>
      </c>
      <c r="AC119" s="6" t="str">
        <f t="shared" si="35"/>
        <v>No</v>
      </c>
      <c r="AD119" s="6" t="str">
        <f t="shared" si="36"/>
        <v>No</v>
      </c>
      <c r="AE119" s="6" t="str">
        <f t="shared" si="37"/>
        <v>No</v>
      </c>
      <c r="AF119" s="6" t="s">
        <v>639</v>
      </c>
      <c r="AG119" s="6" t="str">
        <f t="shared" si="38"/>
        <v>Yes</v>
      </c>
      <c r="AH119" s="6" t="str">
        <f t="shared" si="39"/>
        <v>Clean</v>
      </c>
      <c r="AI119" s="6" t="s">
        <v>602</v>
      </c>
      <c r="AJ119" s="6" t="s">
        <v>32</v>
      </c>
      <c r="AK119" s="6" t="s">
        <v>95</v>
      </c>
    </row>
    <row r="120" spans="1:37" ht="28">
      <c r="A120" s="6" t="str">
        <f t="shared" si="30"/>
        <v>MCO-2023</v>
      </c>
      <c r="B120" s="6" t="s">
        <v>92</v>
      </c>
      <c r="C120" s="6" t="s">
        <v>93</v>
      </c>
      <c r="D120" s="6" t="s">
        <v>94</v>
      </c>
      <c r="E120" s="6" t="s">
        <v>82</v>
      </c>
      <c r="F120" s="6" t="s">
        <v>31</v>
      </c>
      <c r="G120" s="11">
        <v>2023</v>
      </c>
      <c r="H120" s="9">
        <v>27919698</v>
      </c>
      <c r="I120" s="18">
        <v>651684000</v>
      </c>
      <c r="J120" s="41"/>
      <c r="K120" s="41"/>
      <c r="L120" s="18">
        <v>37424000</v>
      </c>
      <c r="M120" s="18">
        <v>23238000</v>
      </c>
      <c r="N120" s="18">
        <v>129324000</v>
      </c>
      <c r="O120" s="18">
        <v>117967000</v>
      </c>
      <c r="P120" s="41"/>
      <c r="Q120" s="18">
        <v>19924000</v>
      </c>
      <c r="R120" s="41"/>
      <c r="S120" s="41"/>
      <c r="T120" s="18">
        <v>452636000</v>
      </c>
      <c r="U120" s="18">
        <v>-32909000</v>
      </c>
      <c r="V120" s="18">
        <v>176346000</v>
      </c>
      <c r="W120" s="18">
        <v>2806240000</v>
      </c>
      <c r="X120" s="18">
        <v>213316000</v>
      </c>
      <c r="Y120" s="18">
        <f t="shared" si="31"/>
        <v>327877000</v>
      </c>
      <c r="Z120" s="42">
        <f t="shared" si="32"/>
        <v>0.50312267908986563</v>
      </c>
      <c r="AA120" s="6" t="str">
        <f t="shared" si="33"/>
        <v>No</v>
      </c>
      <c r="AB120" s="6" t="str">
        <f t="shared" si="34"/>
        <v>No</v>
      </c>
      <c r="AC120" s="6" t="str">
        <f t="shared" si="35"/>
        <v>No</v>
      </c>
      <c r="AD120" s="6" t="str">
        <f t="shared" si="36"/>
        <v>Yes</v>
      </c>
      <c r="AE120" s="6" t="str">
        <f t="shared" si="37"/>
        <v>No</v>
      </c>
      <c r="AF120" s="6" t="s">
        <v>639</v>
      </c>
      <c r="AG120" s="6" t="str">
        <f t="shared" si="38"/>
        <v>Yes</v>
      </c>
      <c r="AH120" s="6" t="str">
        <f t="shared" si="39"/>
        <v>Clean</v>
      </c>
      <c r="AI120" s="6" t="s">
        <v>602</v>
      </c>
      <c r="AJ120" s="6" t="s">
        <v>32</v>
      </c>
      <c r="AK120" s="6" t="s">
        <v>95</v>
      </c>
    </row>
    <row r="121" spans="1:37" ht="28">
      <c r="A121" s="6" t="str">
        <f t="shared" si="30"/>
        <v>MCO-2024</v>
      </c>
      <c r="B121" s="6" t="s">
        <v>92</v>
      </c>
      <c r="C121" s="6" t="s">
        <v>93</v>
      </c>
      <c r="D121" s="6" t="s">
        <v>94</v>
      </c>
      <c r="E121" s="6" t="s">
        <v>82</v>
      </c>
      <c r="F121" s="6" t="s">
        <v>31</v>
      </c>
      <c r="G121" s="11">
        <v>2024</v>
      </c>
      <c r="H121" s="9">
        <v>29080689</v>
      </c>
      <c r="I121" s="18">
        <v>721005000</v>
      </c>
      <c r="J121" s="41"/>
      <c r="K121" s="41"/>
      <c r="L121" s="18">
        <v>45304000</v>
      </c>
      <c r="M121" s="18">
        <v>23897000</v>
      </c>
      <c r="N121" s="18">
        <v>129030000</v>
      </c>
      <c r="O121" s="18">
        <v>142808000</v>
      </c>
      <c r="P121" s="41"/>
      <c r="Q121" s="18">
        <v>25917000</v>
      </c>
      <c r="R121" s="41"/>
      <c r="S121" s="41"/>
      <c r="T121" s="18">
        <v>491337000</v>
      </c>
      <c r="U121" s="18">
        <v>-573000</v>
      </c>
      <c r="V121" s="18">
        <v>329351000</v>
      </c>
      <c r="W121" s="18">
        <v>2660996000</v>
      </c>
      <c r="X121" s="18">
        <v>237852000</v>
      </c>
      <c r="Y121" s="18">
        <f t="shared" si="31"/>
        <v>366956000</v>
      </c>
      <c r="Z121" s="42">
        <f t="shared" si="32"/>
        <v>0.50895070075796978</v>
      </c>
      <c r="AA121" s="6" t="str">
        <f t="shared" si="33"/>
        <v>No</v>
      </c>
      <c r="AB121" s="6" t="str">
        <f t="shared" si="34"/>
        <v>No</v>
      </c>
      <c r="AC121" s="6" t="str">
        <f t="shared" si="35"/>
        <v>No</v>
      </c>
      <c r="AD121" s="6" t="str">
        <f t="shared" si="36"/>
        <v>Yes</v>
      </c>
      <c r="AE121" s="6" t="str">
        <f t="shared" si="37"/>
        <v>No</v>
      </c>
      <c r="AF121" s="6" t="s">
        <v>639</v>
      </c>
      <c r="AG121" s="6" t="str">
        <f t="shared" si="38"/>
        <v>Yes</v>
      </c>
      <c r="AH121" s="6" t="str">
        <f t="shared" si="39"/>
        <v>Clean</v>
      </c>
      <c r="AI121" s="6" t="s">
        <v>602</v>
      </c>
      <c r="AJ121" s="6" t="s">
        <v>32</v>
      </c>
      <c r="AK121" s="6" t="s">
        <v>95</v>
      </c>
    </row>
    <row r="122" spans="1:37" ht="28">
      <c r="A122" s="6" t="str">
        <f t="shared" si="30"/>
        <v>MDW-2019</v>
      </c>
      <c r="B122" s="6" t="s">
        <v>189</v>
      </c>
      <c r="C122" s="6" t="s">
        <v>190</v>
      </c>
      <c r="D122" s="6" t="s">
        <v>66</v>
      </c>
      <c r="E122" s="6" t="s">
        <v>67</v>
      </c>
      <c r="F122" s="6" t="s">
        <v>31</v>
      </c>
      <c r="G122" s="11">
        <v>2019</v>
      </c>
      <c r="H122" s="9">
        <v>10417815</v>
      </c>
      <c r="I122" s="18">
        <v>227534000</v>
      </c>
      <c r="J122" s="41"/>
      <c r="K122" s="41"/>
      <c r="L122" s="18">
        <v>16227000</v>
      </c>
      <c r="M122" s="18">
        <v>7597000</v>
      </c>
      <c r="N122" s="18">
        <v>11636000</v>
      </c>
      <c r="O122" s="18">
        <v>34430000</v>
      </c>
      <c r="P122" s="41"/>
      <c r="Q122" s="18">
        <v>109000</v>
      </c>
      <c r="R122" s="41"/>
      <c r="S122" s="41"/>
      <c r="T122" s="18">
        <v>188182000</v>
      </c>
      <c r="U122" s="18">
        <v>-12655000</v>
      </c>
      <c r="V122" s="18">
        <v>144065000</v>
      </c>
      <c r="W122" s="18">
        <v>1773987000</v>
      </c>
      <c r="X122" s="18">
        <v>123170000</v>
      </c>
      <c r="Y122" s="18">
        <f t="shared" si="31"/>
        <v>69999000</v>
      </c>
      <c r="Z122" s="42">
        <f t="shared" si="32"/>
        <v>0.30764193483171748</v>
      </c>
      <c r="AA122" s="6" t="str">
        <f t="shared" si="33"/>
        <v>No</v>
      </c>
      <c r="AB122" s="6" t="str">
        <f t="shared" si="34"/>
        <v>No</v>
      </c>
      <c r="AC122" s="6" t="str">
        <f t="shared" si="35"/>
        <v>No</v>
      </c>
      <c r="AD122" s="6" t="str">
        <f t="shared" si="36"/>
        <v>Yes</v>
      </c>
      <c r="AE122" s="6" t="str">
        <f t="shared" si="37"/>
        <v>No</v>
      </c>
      <c r="AF122" s="6" t="s">
        <v>639</v>
      </c>
      <c r="AG122" s="6" t="str">
        <f t="shared" si="38"/>
        <v>Yes</v>
      </c>
      <c r="AH122" s="6" t="str">
        <f t="shared" si="39"/>
        <v>Clean</v>
      </c>
      <c r="AI122" s="6" t="s">
        <v>602</v>
      </c>
      <c r="AJ122" s="6" t="s">
        <v>32</v>
      </c>
      <c r="AK122" s="6" t="s">
        <v>191</v>
      </c>
    </row>
    <row r="123" spans="1:37" ht="28">
      <c r="A123" s="6" t="str">
        <f t="shared" si="30"/>
        <v>MDW-2020</v>
      </c>
      <c r="B123" s="6" t="s">
        <v>189</v>
      </c>
      <c r="C123" s="6" t="s">
        <v>190</v>
      </c>
      <c r="D123" s="6" t="s">
        <v>66</v>
      </c>
      <c r="E123" s="6" t="s">
        <v>67</v>
      </c>
      <c r="F123" s="6" t="s">
        <v>31</v>
      </c>
      <c r="G123" s="11">
        <v>2020</v>
      </c>
      <c r="H123" s="9">
        <v>4445906</v>
      </c>
      <c r="I123" s="18">
        <v>187740000</v>
      </c>
      <c r="J123" s="41"/>
      <c r="K123" s="41"/>
      <c r="L123" s="18">
        <v>13390000</v>
      </c>
      <c r="M123" s="18">
        <v>7301000</v>
      </c>
      <c r="N123" s="18">
        <v>10194000</v>
      </c>
      <c r="O123" s="18">
        <v>14299000</v>
      </c>
      <c r="P123" s="41"/>
      <c r="Q123" s="18">
        <v>110000</v>
      </c>
      <c r="R123" s="41"/>
      <c r="S123" s="41"/>
      <c r="T123" s="18">
        <v>163891000</v>
      </c>
      <c r="U123" s="18">
        <v>-26169000</v>
      </c>
      <c r="V123" s="18">
        <v>72406000</v>
      </c>
      <c r="W123" s="18">
        <v>1737387000</v>
      </c>
      <c r="X123" s="18">
        <v>112278000</v>
      </c>
      <c r="Y123" s="18">
        <f t="shared" si="31"/>
        <v>45294000</v>
      </c>
      <c r="Z123" s="42">
        <f t="shared" si="32"/>
        <v>0.24125918823905401</v>
      </c>
      <c r="AA123" s="6" t="str">
        <f t="shared" si="33"/>
        <v>No</v>
      </c>
      <c r="AB123" s="6" t="str">
        <f t="shared" si="34"/>
        <v>No</v>
      </c>
      <c r="AC123" s="6" t="str">
        <f t="shared" si="35"/>
        <v>No</v>
      </c>
      <c r="AD123" s="6" t="str">
        <f t="shared" si="36"/>
        <v>Yes</v>
      </c>
      <c r="AE123" s="6" t="str">
        <f t="shared" si="37"/>
        <v>No</v>
      </c>
      <c r="AF123" s="6" t="s">
        <v>639</v>
      </c>
      <c r="AG123" s="6" t="str">
        <f t="shared" si="38"/>
        <v>Yes</v>
      </c>
      <c r="AH123" s="6" t="str">
        <f t="shared" si="39"/>
        <v>Clean</v>
      </c>
      <c r="AI123" s="6" t="s">
        <v>602</v>
      </c>
      <c r="AJ123" s="6" t="s">
        <v>32</v>
      </c>
      <c r="AK123" s="6" t="s">
        <v>191</v>
      </c>
    </row>
    <row r="124" spans="1:37" ht="28">
      <c r="A124" s="6" t="str">
        <f t="shared" si="30"/>
        <v>MDW-2021</v>
      </c>
      <c r="B124" s="6" t="s">
        <v>189</v>
      </c>
      <c r="C124" s="6" t="s">
        <v>190</v>
      </c>
      <c r="D124" s="6" t="s">
        <v>66</v>
      </c>
      <c r="E124" s="6" t="s">
        <v>67</v>
      </c>
      <c r="F124" s="6" t="s">
        <v>31</v>
      </c>
      <c r="G124" s="11">
        <v>2021</v>
      </c>
      <c r="H124" s="9">
        <v>7924344</v>
      </c>
      <c r="I124" s="18">
        <v>220829000</v>
      </c>
      <c r="J124" s="41"/>
      <c r="K124" s="41"/>
      <c r="L124" s="18">
        <v>13652000</v>
      </c>
      <c r="M124" s="18">
        <v>5673000</v>
      </c>
      <c r="N124" s="18">
        <v>10339000</v>
      </c>
      <c r="O124" s="18">
        <v>27797000</v>
      </c>
      <c r="P124" s="41"/>
      <c r="Q124" s="18">
        <v>145000</v>
      </c>
      <c r="R124" s="41"/>
      <c r="S124" s="41"/>
      <c r="T124" s="18">
        <v>189300000</v>
      </c>
      <c r="U124" s="18">
        <v>-21107000</v>
      </c>
      <c r="V124" s="18">
        <v>16418000</v>
      </c>
      <c r="W124" s="18">
        <v>1675401000</v>
      </c>
      <c r="X124" s="18">
        <v>136013000</v>
      </c>
      <c r="Y124" s="18">
        <f t="shared" si="31"/>
        <v>57606000</v>
      </c>
      <c r="Z124" s="42">
        <f t="shared" si="32"/>
        <v>0.26086247730144141</v>
      </c>
      <c r="AA124" s="6" t="str">
        <f t="shared" si="33"/>
        <v>No</v>
      </c>
      <c r="AB124" s="6" t="str">
        <f t="shared" si="34"/>
        <v>No</v>
      </c>
      <c r="AC124" s="6" t="str">
        <f t="shared" si="35"/>
        <v>No</v>
      </c>
      <c r="AD124" s="6" t="str">
        <f t="shared" si="36"/>
        <v>Yes</v>
      </c>
      <c r="AE124" s="6" t="str">
        <f t="shared" si="37"/>
        <v>No</v>
      </c>
      <c r="AF124" s="6" t="s">
        <v>639</v>
      </c>
      <c r="AG124" s="6" t="str">
        <f t="shared" si="38"/>
        <v>Yes</v>
      </c>
      <c r="AH124" s="6" t="str">
        <f t="shared" si="39"/>
        <v>Clean</v>
      </c>
      <c r="AI124" s="6" t="s">
        <v>602</v>
      </c>
      <c r="AJ124" s="6" t="s">
        <v>32</v>
      </c>
      <c r="AK124" s="6" t="s">
        <v>191</v>
      </c>
    </row>
    <row r="125" spans="1:37" ht="28">
      <c r="A125" s="6" t="str">
        <f t="shared" si="30"/>
        <v>MDW-2022</v>
      </c>
      <c r="B125" s="6" t="s">
        <v>189</v>
      </c>
      <c r="C125" s="6" t="s">
        <v>190</v>
      </c>
      <c r="D125" s="6" t="s">
        <v>66</v>
      </c>
      <c r="E125" s="6" t="s">
        <v>67</v>
      </c>
      <c r="F125" s="6" t="s">
        <v>31</v>
      </c>
      <c r="G125" s="11">
        <v>2022</v>
      </c>
      <c r="H125" s="9">
        <v>9946882</v>
      </c>
      <c r="I125" s="18">
        <v>232423000</v>
      </c>
      <c r="J125" s="41"/>
      <c r="K125" s="41"/>
      <c r="L125" s="18">
        <v>9685000</v>
      </c>
      <c r="M125" s="18">
        <v>5079000</v>
      </c>
      <c r="N125" s="18">
        <v>8913000</v>
      </c>
      <c r="O125" s="18">
        <v>35901000</v>
      </c>
      <c r="P125" s="41"/>
      <c r="Q125" s="18">
        <v>115000</v>
      </c>
      <c r="R125" s="41"/>
      <c r="S125" s="41"/>
      <c r="T125" s="18">
        <v>185764000</v>
      </c>
      <c r="U125" s="18">
        <v>-10686000</v>
      </c>
      <c r="V125" s="18">
        <v>12049000</v>
      </c>
      <c r="W125" s="18">
        <v>1543404000</v>
      </c>
      <c r="X125" s="18">
        <v>135673000</v>
      </c>
      <c r="Y125" s="18">
        <f t="shared" si="31"/>
        <v>59693000</v>
      </c>
      <c r="Z125" s="42">
        <f t="shared" si="32"/>
        <v>0.2568291434152386</v>
      </c>
      <c r="AA125" s="6" t="str">
        <f t="shared" si="33"/>
        <v>No</v>
      </c>
      <c r="AB125" s="6" t="str">
        <f t="shared" si="34"/>
        <v>No</v>
      </c>
      <c r="AC125" s="6" t="str">
        <f t="shared" si="35"/>
        <v>No</v>
      </c>
      <c r="AD125" s="6" t="str">
        <f t="shared" si="36"/>
        <v>Yes</v>
      </c>
      <c r="AE125" s="6" t="str">
        <f t="shared" si="37"/>
        <v>No</v>
      </c>
      <c r="AF125" s="6" t="s">
        <v>639</v>
      </c>
      <c r="AG125" s="6" t="str">
        <f t="shared" si="38"/>
        <v>Yes</v>
      </c>
      <c r="AH125" s="6" t="str">
        <f t="shared" si="39"/>
        <v>Clean</v>
      </c>
      <c r="AI125" s="6" t="s">
        <v>602</v>
      </c>
      <c r="AJ125" s="6" t="s">
        <v>32</v>
      </c>
      <c r="AK125" s="6" t="s">
        <v>191</v>
      </c>
    </row>
    <row r="126" spans="1:37" ht="28">
      <c r="A126" s="6" t="str">
        <f t="shared" si="30"/>
        <v>MDW-2023</v>
      </c>
      <c r="B126" s="6" t="s">
        <v>189</v>
      </c>
      <c r="C126" s="6" t="s">
        <v>190</v>
      </c>
      <c r="D126" s="6" t="s">
        <v>66</v>
      </c>
      <c r="E126" s="6" t="s">
        <v>67</v>
      </c>
      <c r="F126" s="6" t="s">
        <v>31</v>
      </c>
      <c r="G126" s="11">
        <v>2023</v>
      </c>
      <c r="H126" s="9">
        <v>10987775</v>
      </c>
      <c r="I126" s="18">
        <v>296833000</v>
      </c>
      <c r="J126" s="41"/>
      <c r="K126" s="41"/>
      <c r="L126" s="18">
        <v>16958000</v>
      </c>
      <c r="M126" s="18">
        <v>8062000</v>
      </c>
      <c r="N126" s="18">
        <v>10251000</v>
      </c>
      <c r="O126" s="18">
        <v>39567000</v>
      </c>
      <c r="P126" s="41"/>
      <c r="Q126" s="18">
        <v>54000</v>
      </c>
      <c r="R126" s="41"/>
      <c r="S126" s="41"/>
      <c r="T126" s="18">
        <v>210695000</v>
      </c>
      <c r="U126" s="18">
        <v>86139000</v>
      </c>
      <c r="V126" s="18">
        <v>8929000</v>
      </c>
      <c r="W126" s="18">
        <v>1513011000</v>
      </c>
      <c r="X126" s="18">
        <v>177927000</v>
      </c>
      <c r="Y126" s="18">
        <f t="shared" si="31"/>
        <v>74892000</v>
      </c>
      <c r="Z126" s="42">
        <f t="shared" si="32"/>
        <v>0.25230348377707329</v>
      </c>
      <c r="AA126" s="6" t="str">
        <f t="shared" si="33"/>
        <v>No</v>
      </c>
      <c r="AB126" s="6" t="str">
        <f t="shared" si="34"/>
        <v>No</v>
      </c>
      <c r="AC126" s="6" t="str">
        <f t="shared" si="35"/>
        <v>No</v>
      </c>
      <c r="AD126" s="6" t="str">
        <f t="shared" si="36"/>
        <v>No</v>
      </c>
      <c r="AE126" s="6" t="str">
        <f t="shared" si="37"/>
        <v>No</v>
      </c>
      <c r="AF126" s="6" t="s">
        <v>639</v>
      </c>
      <c r="AG126" s="6" t="str">
        <f t="shared" si="38"/>
        <v>Yes</v>
      </c>
      <c r="AH126" s="6" t="str">
        <f t="shared" si="39"/>
        <v>Clean</v>
      </c>
      <c r="AI126" s="6" t="s">
        <v>602</v>
      </c>
      <c r="AJ126" s="6" t="s">
        <v>32</v>
      </c>
      <c r="AK126" s="6" t="s">
        <v>191</v>
      </c>
    </row>
    <row r="127" spans="1:37" ht="28">
      <c r="A127" s="6" t="str">
        <f t="shared" si="30"/>
        <v>MDW-2024</v>
      </c>
      <c r="B127" s="6" t="s">
        <v>189</v>
      </c>
      <c r="C127" s="6" t="s">
        <v>190</v>
      </c>
      <c r="D127" s="6" t="s">
        <v>66</v>
      </c>
      <c r="E127" s="6" t="s">
        <v>67</v>
      </c>
      <c r="F127" s="6" t="s">
        <v>31</v>
      </c>
      <c r="G127" s="11">
        <v>2024</v>
      </c>
      <c r="H127" s="9">
        <v>10707000</v>
      </c>
      <c r="I127" s="18">
        <v>288948000</v>
      </c>
      <c r="J127" s="41"/>
      <c r="K127" s="41"/>
      <c r="L127" s="18">
        <v>14840000</v>
      </c>
      <c r="M127" s="18">
        <v>7802000</v>
      </c>
      <c r="N127" s="18">
        <v>10561000</v>
      </c>
      <c r="O127" s="18">
        <v>38467000</v>
      </c>
      <c r="P127" s="41"/>
      <c r="Q127" s="18">
        <v>76000</v>
      </c>
      <c r="R127" s="41"/>
      <c r="S127" s="41"/>
      <c r="T127" s="18">
        <v>197953000</v>
      </c>
      <c r="U127" s="18">
        <v>35131000</v>
      </c>
      <c r="V127" s="18">
        <v>18876000</v>
      </c>
      <c r="W127" s="18">
        <v>1412373000</v>
      </c>
      <c r="X127" s="18">
        <v>166924000</v>
      </c>
      <c r="Y127" s="18">
        <f t="shared" si="31"/>
        <v>71746000</v>
      </c>
      <c r="Z127" s="42">
        <f t="shared" si="32"/>
        <v>0.24830073231169622</v>
      </c>
      <c r="AA127" s="6" t="str">
        <f t="shared" si="33"/>
        <v>No</v>
      </c>
      <c r="AB127" s="6" t="str">
        <f t="shared" si="34"/>
        <v>No</v>
      </c>
      <c r="AC127" s="6" t="str">
        <f t="shared" si="35"/>
        <v>No</v>
      </c>
      <c r="AD127" s="6" t="str">
        <f t="shared" si="36"/>
        <v>No</v>
      </c>
      <c r="AE127" s="6" t="str">
        <f t="shared" si="37"/>
        <v>No</v>
      </c>
      <c r="AF127" s="6" t="s">
        <v>639</v>
      </c>
      <c r="AG127" s="6" t="str">
        <f t="shared" si="38"/>
        <v>Yes</v>
      </c>
      <c r="AH127" s="6" t="str">
        <f t="shared" si="39"/>
        <v>Clean</v>
      </c>
      <c r="AI127" s="6" t="s">
        <v>602</v>
      </c>
      <c r="AJ127" s="6" t="s">
        <v>32</v>
      </c>
      <c r="AK127" s="6" t="s">
        <v>191</v>
      </c>
    </row>
    <row r="128" spans="1:37" ht="28">
      <c r="A128" s="6" t="str">
        <f t="shared" si="30"/>
        <v>MIA-2019</v>
      </c>
      <c r="B128" s="6" t="s">
        <v>79</v>
      </c>
      <c r="C128" s="6" t="s">
        <v>80</v>
      </c>
      <c r="D128" s="6" t="s">
        <v>81</v>
      </c>
      <c r="E128" s="6" t="s">
        <v>82</v>
      </c>
      <c r="F128" s="6" t="s">
        <v>31</v>
      </c>
      <c r="G128" s="11">
        <v>2019</v>
      </c>
      <c r="H128" s="9">
        <v>22685074</v>
      </c>
      <c r="I128" s="18">
        <v>820562000</v>
      </c>
      <c r="J128" s="41"/>
      <c r="K128" s="41"/>
      <c r="L128" s="18">
        <v>27518000</v>
      </c>
      <c r="M128" s="18">
        <v>50251000</v>
      </c>
      <c r="N128" s="18">
        <v>47867000</v>
      </c>
      <c r="O128" s="18">
        <v>57856000</v>
      </c>
      <c r="P128" s="41"/>
      <c r="Q128" s="18">
        <v>39536000</v>
      </c>
      <c r="R128" s="41"/>
      <c r="S128" s="41"/>
      <c r="T128" s="18">
        <v>500363000</v>
      </c>
      <c r="U128" s="18">
        <v>55264000</v>
      </c>
      <c r="V128" s="18">
        <v>144968000</v>
      </c>
      <c r="W128" s="18">
        <v>5984308000</v>
      </c>
      <c r="X128" s="18">
        <v>436234000</v>
      </c>
      <c r="Y128" s="18">
        <f t="shared" si="31"/>
        <v>223028000</v>
      </c>
      <c r="Z128" s="42">
        <f t="shared" si="32"/>
        <v>0.27179908404240022</v>
      </c>
      <c r="AA128" s="6" t="str">
        <f t="shared" si="33"/>
        <v>No</v>
      </c>
      <c r="AB128" s="6" t="str">
        <f t="shared" si="34"/>
        <v>No</v>
      </c>
      <c r="AC128" s="6" t="str">
        <f t="shared" si="35"/>
        <v>No</v>
      </c>
      <c r="AD128" s="6" t="str">
        <f t="shared" si="36"/>
        <v>No</v>
      </c>
      <c r="AE128" s="6" t="str">
        <f t="shared" si="37"/>
        <v>No</v>
      </c>
      <c r="AF128" s="6" t="s">
        <v>639</v>
      </c>
      <c r="AG128" s="6" t="str">
        <f t="shared" si="38"/>
        <v>Yes</v>
      </c>
      <c r="AH128" s="6" t="str">
        <f t="shared" si="39"/>
        <v>Clean</v>
      </c>
      <c r="AI128" s="6" t="s">
        <v>602</v>
      </c>
      <c r="AJ128" s="6" t="s">
        <v>32</v>
      </c>
      <c r="AK128" s="6" t="s">
        <v>83</v>
      </c>
    </row>
    <row r="129" spans="1:37" ht="28">
      <c r="A129" s="6" t="str">
        <f t="shared" si="30"/>
        <v>MIA-2020</v>
      </c>
      <c r="B129" s="6" t="s">
        <v>79</v>
      </c>
      <c r="C129" s="6" t="s">
        <v>80</v>
      </c>
      <c r="D129" s="6" t="s">
        <v>81</v>
      </c>
      <c r="E129" s="6" t="s">
        <v>82</v>
      </c>
      <c r="F129" s="6" t="s">
        <v>31</v>
      </c>
      <c r="G129" s="11">
        <v>2020</v>
      </c>
      <c r="H129" s="9">
        <v>12649609</v>
      </c>
      <c r="I129" s="18">
        <v>553762000</v>
      </c>
      <c r="J129" s="41"/>
      <c r="K129" s="41"/>
      <c r="L129" s="18">
        <v>14705000</v>
      </c>
      <c r="M129" s="18">
        <v>25286000</v>
      </c>
      <c r="N129" s="18">
        <v>28930000</v>
      </c>
      <c r="O129" s="18">
        <v>33226000</v>
      </c>
      <c r="P129" s="41"/>
      <c r="Q129" s="18">
        <v>27396000</v>
      </c>
      <c r="R129" s="41"/>
      <c r="S129" s="41"/>
      <c r="T129" s="18">
        <v>510188000</v>
      </c>
      <c r="U129" s="18">
        <v>-227399000</v>
      </c>
      <c r="V129" s="18">
        <v>124916000</v>
      </c>
      <c r="W129" s="18">
        <v>5822862000</v>
      </c>
      <c r="X129" s="18">
        <v>275003000</v>
      </c>
      <c r="Y129" s="18">
        <f t="shared" si="31"/>
        <v>129543000</v>
      </c>
      <c r="Z129" s="42">
        <f t="shared" si="32"/>
        <v>0.23393262809654689</v>
      </c>
      <c r="AA129" s="6" t="str">
        <f t="shared" si="33"/>
        <v>No</v>
      </c>
      <c r="AB129" s="6" t="str">
        <f t="shared" si="34"/>
        <v>No</v>
      </c>
      <c r="AC129" s="6" t="str">
        <f t="shared" si="35"/>
        <v>No</v>
      </c>
      <c r="AD129" s="6" t="str">
        <f t="shared" si="36"/>
        <v>Yes</v>
      </c>
      <c r="AE129" s="6" t="str">
        <f t="shared" si="37"/>
        <v>No</v>
      </c>
      <c r="AF129" s="6" t="s">
        <v>639</v>
      </c>
      <c r="AG129" s="6" t="str">
        <f t="shared" si="38"/>
        <v>Yes</v>
      </c>
      <c r="AH129" s="6" t="str">
        <f t="shared" si="39"/>
        <v>Clean</v>
      </c>
      <c r="AI129" s="6" t="s">
        <v>602</v>
      </c>
      <c r="AJ129" s="6" t="s">
        <v>32</v>
      </c>
      <c r="AK129" s="6" t="s">
        <v>83</v>
      </c>
    </row>
    <row r="130" spans="1:37" ht="28">
      <c r="A130" s="6" t="str">
        <f t="shared" ref="A130:A161" si="40">B130&amp;"-"&amp;G130</f>
        <v>MIA-2021</v>
      </c>
      <c r="B130" s="6" t="s">
        <v>79</v>
      </c>
      <c r="C130" s="6" t="s">
        <v>80</v>
      </c>
      <c r="D130" s="6" t="s">
        <v>81</v>
      </c>
      <c r="E130" s="6" t="s">
        <v>82</v>
      </c>
      <c r="F130" s="6" t="s">
        <v>31</v>
      </c>
      <c r="G130" s="11">
        <v>2021</v>
      </c>
      <c r="H130" s="9">
        <v>15136208</v>
      </c>
      <c r="I130" s="18">
        <v>649645000</v>
      </c>
      <c r="J130" s="41"/>
      <c r="K130" s="41"/>
      <c r="L130" s="18">
        <v>15347000</v>
      </c>
      <c r="M130" s="18">
        <v>20985000</v>
      </c>
      <c r="N130" s="18">
        <v>42148000</v>
      </c>
      <c r="O130" s="18">
        <v>35993000</v>
      </c>
      <c r="P130" s="41"/>
      <c r="Q130" s="18">
        <v>26492000</v>
      </c>
      <c r="R130" s="41"/>
      <c r="S130" s="41"/>
      <c r="T130" s="18">
        <v>480802000</v>
      </c>
      <c r="U130" s="18">
        <v>-108548000</v>
      </c>
      <c r="V130" s="18">
        <v>127183000</v>
      </c>
      <c r="W130" s="18">
        <v>5665948000</v>
      </c>
      <c r="X130" s="18">
        <v>374318000</v>
      </c>
      <c r="Y130" s="18">
        <f t="shared" ref="Y130:Y161" si="41">SUM(L130:S130)</f>
        <v>140965000</v>
      </c>
      <c r="Z130" s="42">
        <f t="shared" ref="Z130:Z161" si="42">IFERROR(Y130/I130,0)</f>
        <v>0.21698773945770383</v>
      </c>
      <c r="AA130" s="6" t="str">
        <f t="shared" ref="AA130:AA161" si="43">IF(OR(H130="",I130="",T130="",U130=""),"Yes","No")</f>
        <v>No</v>
      </c>
      <c r="AB130" s="6" t="str">
        <f t="shared" ref="AB130:AB161" si="44">IF(OR(AND(L130&lt;&gt;"",L130=0),AND(M130&lt;&gt;"",M130=0),AND(N130&lt;&gt;"",N130=0),AND(O130&lt;&gt;"",O130=0),AND(Q130&lt;&gt;"",Q130=0)),"Yes","No")</f>
        <v>No</v>
      </c>
      <c r="AC130" s="6" t="str">
        <f t="shared" ref="AC130:AC161" si="45">IF(MIN(L130:O130,Q130)&lt;0,"Yes","No")</f>
        <v>No</v>
      </c>
      <c r="AD130" s="6" t="str">
        <f t="shared" ref="AD130:AD161" si="46">IF(U130&lt;0,"Yes","No")</f>
        <v>Yes</v>
      </c>
      <c r="AE130" s="6" t="str">
        <f t="shared" ref="AE130:AE161" si="47">IF(COUNTIFS($B$2:$B$187,B130,$G$2:$G$187,G130)&gt;1,"Yes","No")</f>
        <v>No</v>
      </c>
      <c r="AF130" s="6" t="s">
        <v>639</v>
      </c>
      <c r="AG130" s="6" t="str">
        <f t="shared" ref="AG130:AG161" si="48">IF(OR(J130="",K130="",P130="",R130="",S130=""),"Yes","No")</f>
        <v>Yes</v>
      </c>
      <c r="AH130" s="6" t="str">
        <f t="shared" ref="AH130:AH161" si="49">IF(OR(AA130="Yes",AE130="Yes"),"Review - Core/Duplicate",IF(OR(AB130="Yes",AC130="Yes"),"Clean - Flagged","Clean"))</f>
        <v>Clean</v>
      </c>
      <c r="AI130" s="6" t="s">
        <v>602</v>
      </c>
      <c r="AJ130" s="6" t="s">
        <v>32</v>
      </c>
      <c r="AK130" s="6" t="s">
        <v>83</v>
      </c>
    </row>
    <row r="131" spans="1:37" ht="28">
      <c r="A131" s="6" t="str">
        <f t="shared" si="40"/>
        <v>MIA-2022</v>
      </c>
      <c r="B131" s="6" t="s">
        <v>79</v>
      </c>
      <c r="C131" s="6" t="s">
        <v>80</v>
      </c>
      <c r="D131" s="6" t="s">
        <v>81</v>
      </c>
      <c r="E131" s="6" t="s">
        <v>82</v>
      </c>
      <c r="F131" s="6" t="s">
        <v>31</v>
      </c>
      <c r="G131" s="11">
        <v>2022</v>
      </c>
      <c r="H131" s="9">
        <v>24937982</v>
      </c>
      <c r="I131" s="18">
        <v>900466000</v>
      </c>
      <c r="J131" s="41"/>
      <c r="K131" s="41"/>
      <c r="L131" s="18">
        <v>20373000</v>
      </c>
      <c r="M131" s="18">
        <v>33924000</v>
      </c>
      <c r="N131" s="18">
        <v>57076000</v>
      </c>
      <c r="O131" s="18">
        <v>63941000</v>
      </c>
      <c r="P131" s="41"/>
      <c r="Q131" s="18">
        <v>32216000</v>
      </c>
      <c r="R131" s="41"/>
      <c r="S131" s="41"/>
      <c r="T131" s="18">
        <v>534054000</v>
      </c>
      <c r="U131" s="18">
        <v>86237000</v>
      </c>
      <c r="V131" s="18">
        <v>107793000</v>
      </c>
      <c r="W131" s="18">
        <v>5557974000</v>
      </c>
      <c r="X131" s="18">
        <v>484726000</v>
      </c>
      <c r="Y131" s="18">
        <f t="shared" si="41"/>
        <v>207530000</v>
      </c>
      <c r="Z131" s="42">
        <f t="shared" si="42"/>
        <v>0.23046955687388529</v>
      </c>
      <c r="AA131" s="6" t="str">
        <f t="shared" si="43"/>
        <v>No</v>
      </c>
      <c r="AB131" s="6" t="str">
        <f t="shared" si="44"/>
        <v>No</v>
      </c>
      <c r="AC131" s="6" t="str">
        <f t="shared" si="45"/>
        <v>No</v>
      </c>
      <c r="AD131" s="6" t="str">
        <f t="shared" si="46"/>
        <v>No</v>
      </c>
      <c r="AE131" s="6" t="str">
        <f t="shared" si="47"/>
        <v>No</v>
      </c>
      <c r="AF131" s="6" t="s">
        <v>639</v>
      </c>
      <c r="AG131" s="6" t="str">
        <f t="shared" si="48"/>
        <v>Yes</v>
      </c>
      <c r="AH131" s="6" t="str">
        <f t="shared" si="49"/>
        <v>Clean</v>
      </c>
      <c r="AI131" s="6" t="s">
        <v>602</v>
      </c>
      <c r="AJ131" s="6" t="s">
        <v>32</v>
      </c>
      <c r="AK131" s="6" t="s">
        <v>83</v>
      </c>
    </row>
    <row r="132" spans="1:37" ht="28">
      <c r="A132" s="6" t="str">
        <f t="shared" si="40"/>
        <v>MIA-2023</v>
      </c>
      <c r="B132" s="6" t="s">
        <v>79</v>
      </c>
      <c r="C132" s="6" t="s">
        <v>80</v>
      </c>
      <c r="D132" s="6" t="s">
        <v>81</v>
      </c>
      <c r="E132" s="6" t="s">
        <v>82</v>
      </c>
      <c r="F132" s="6" t="s">
        <v>31</v>
      </c>
      <c r="G132" s="11">
        <v>2023</v>
      </c>
      <c r="H132" s="9">
        <v>25751310</v>
      </c>
      <c r="I132" s="18">
        <v>927684000</v>
      </c>
      <c r="J132" s="41"/>
      <c r="K132" s="41"/>
      <c r="L132" s="18">
        <v>27718000</v>
      </c>
      <c r="M132" s="18">
        <v>43120000</v>
      </c>
      <c r="N132" s="18">
        <v>54460000</v>
      </c>
      <c r="O132" s="18">
        <v>77870000</v>
      </c>
      <c r="P132" s="41"/>
      <c r="Q132" s="18">
        <v>37860000</v>
      </c>
      <c r="R132" s="41"/>
      <c r="S132" s="41"/>
      <c r="T132" s="18">
        <v>587442000</v>
      </c>
      <c r="U132" s="18">
        <v>56884000</v>
      </c>
      <c r="V132" s="18">
        <v>119747000</v>
      </c>
      <c r="W132" s="18">
        <v>5417940000</v>
      </c>
      <c r="X132" s="18">
        <v>485096000</v>
      </c>
      <c r="Y132" s="18">
        <f t="shared" si="41"/>
        <v>241028000</v>
      </c>
      <c r="Z132" s="42">
        <f t="shared" si="42"/>
        <v>0.2598169204168661</v>
      </c>
      <c r="AA132" s="6" t="str">
        <f t="shared" si="43"/>
        <v>No</v>
      </c>
      <c r="AB132" s="6" t="str">
        <f t="shared" si="44"/>
        <v>No</v>
      </c>
      <c r="AC132" s="6" t="str">
        <f t="shared" si="45"/>
        <v>No</v>
      </c>
      <c r="AD132" s="6" t="str">
        <f t="shared" si="46"/>
        <v>No</v>
      </c>
      <c r="AE132" s="6" t="str">
        <f t="shared" si="47"/>
        <v>No</v>
      </c>
      <c r="AF132" s="6" t="s">
        <v>639</v>
      </c>
      <c r="AG132" s="6" t="str">
        <f t="shared" si="48"/>
        <v>Yes</v>
      </c>
      <c r="AH132" s="6" t="str">
        <f t="shared" si="49"/>
        <v>Clean</v>
      </c>
      <c r="AI132" s="6" t="s">
        <v>602</v>
      </c>
      <c r="AJ132" s="6" t="s">
        <v>32</v>
      </c>
      <c r="AK132" s="6" t="s">
        <v>83</v>
      </c>
    </row>
    <row r="133" spans="1:37" ht="28">
      <c r="A133" s="6" t="str">
        <f t="shared" si="40"/>
        <v>MIA-2024</v>
      </c>
      <c r="B133" s="6" t="s">
        <v>79</v>
      </c>
      <c r="C133" s="6" t="s">
        <v>80</v>
      </c>
      <c r="D133" s="6" t="s">
        <v>81</v>
      </c>
      <c r="E133" s="6" t="s">
        <v>82</v>
      </c>
      <c r="F133" s="6" t="s">
        <v>31</v>
      </c>
      <c r="G133" s="11">
        <v>2024</v>
      </c>
      <c r="H133" s="9">
        <v>27884707</v>
      </c>
      <c r="I133" s="18">
        <v>954940000</v>
      </c>
      <c r="J133" s="41"/>
      <c r="K133" s="41"/>
      <c r="L133" s="18">
        <v>31172000</v>
      </c>
      <c r="M133" s="18">
        <v>53275000</v>
      </c>
      <c r="N133" s="18">
        <v>52178000</v>
      </c>
      <c r="O133" s="18">
        <v>81622000</v>
      </c>
      <c r="P133" s="41"/>
      <c r="Q133" s="18">
        <v>41852000</v>
      </c>
      <c r="R133" s="41"/>
      <c r="S133" s="41"/>
      <c r="T133" s="18">
        <v>642874000</v>
      </c>
      <c r="U133" s="18">
        <v>29209000</v>
      </c>
      <c r="V133" s="18">
        <v>244774000</v>
      </c>
      <c r="W133" s="18">
        <v>5263651000</v>
      </c>
      <c r="X133" s="18">
        <v>469318000</v>
      </c>
      <c r="Y133" s="18">
        <f t="shared" si="41"/>
        <v>260099000</v>
      </c>
      <c r="Z133" s="42">
        <f t="shared" si="42"/>
        <v>0.27237208620436887</v>
      </c>
      <c r="AA133" s="6" t="str">
        <f t="shared" si="43"/>
        <v>No</v>
      </c>
      <c r="AB133" s="6" t="str">
        <f t="shared" si="44"/>
        <v>No</v>
      </c>
      <c r="AC133" s="6" t="str">
        <f t="shared" si="45"/>
        <v>No</v>
      </c>
      <c r="AD133" s="6" t="str">
        <f t="shared" si="46"/>
        <v>No</v>
      </c>
      <c r="AE133" s="6" t="str">
        <f t="shared" si="47"/>
        <v>No</v>
      </c>
      <c r="AF133" s="6" t="s">
        <v>639</v>
      </c>
      <c r="AG133" s="6" t="str">
        <f t="shared" si="48"/>
        <v>Yes</v>
      </c>
      <c r="AH133" s="6" t="str">
        <f t="shared" si="49"/>
        <v>Clean</v>
      </c>
      <c r="AI133" s="6" t="s">
        <v>602</v>
      </c>
      <c r="AJ133" s="6" t="s">
        <v>32</v>
      </c>
      <c r="AK133" s="6" t="s">
        <v>83</v>
      </c>
    </row>
    <row r="134" spans="1:37" ht="28">
      <c r="A134" s="6" t="str">
        <f t="shared" si="40"/>
        <v>MSP-2019</v>
      </c>
      <c r="B134" s="6" t="s">
        <v>115</v>
      </c>
      <c r="C134" s="6" t="s">
        <v>116</v>
      </c>
      <c r="D134" s="6" t="s">
        <v>117</v>
      </c>
      <c r="E134" s="6" t="s">
        <v>118</v>
      </c>
      <c r="F134" s="6" t="s">
        <v>31</v>
      </c>
      <c r="G134" s="11">
        <v>2019</v>
      </c>
      <c r="H134" s="9">
        <v>19783380</v>
      </c>
      <c r="I134" s="18">
        <v>378675000</v>
      </c>
      <c r="J134" s="41"/>
      <c r="K134" s="41"/>
      <c r="L134" s="18">
        <v>25499000</v>
      </c>
      <c r="M134" s="18">
        <v>11037000</v>
      </c>
      <c r="N134" s="18">
        <v>21754000</v>
      </c>
      <c r="O134" s="18">
        <v>123257000</v>
      </c>
      <c r="P134" s="41"/>
      <c r="Q134" s="18">
        <v>7719000</v>
      </c>
      <c r="R134" s="41"/>
      <c r="S134" s="41"/>
      <c r="T134" s="18">
        <v>201074000</v>
      </c>
      <c r="U134" s="18">
        <v>28443000</v>
      </c>
      <c r="V134" s="18">
        <v>570557000</v>
      </c>
      <c r="W134" s="18">
        <v>1666297000</v>
      </c>
      <c r="X134" s="18">
        <v>137644000</v>
      </c>
      <c r="Y134" s="18">
        <f t="shared" si="41"/>
        <v>189266000</v>
      </c>
      <c r="Z134" s="42">
        <f t="shared" si="42"/>
        <v>0.49981118373275235</v>
      </c>
      <c r="AA134" s="6" t="str">
        <f t="shared" si="43"/>
        <v>No</v>
      </c>
      <c r="AB134" s="6" t="str">
        <f t="shared" si="44"/>
        <v>No</v>
      </c>
      <c r="AC134" s="6" t="str">
        <f t="shared" si="45"/>
        <v>No</v>
      </c>
      <c r="AD134" s="6" t="str">
        <f t="shared" si="46"/>
        <v>No</v>
      </c>
      <c r="AE134" s="6" t="str">
        <f t="shared" si="47"/>
        <v>No</v>
      </c>
      <c r="AF134" s="6" t="s">
        <v>639</v>
      </c>
      <c r="AG134" s="6" t="str">
        <f t="shared" si="48"/>
        <v>Yes</v>
      </c>
      <c r="AH134" s="6" t="str">
        <f t="shared" si="49"/>
        <v>Clean</v>
      </c>
      <c r="AI134" s="6" t="s">
        <v>602</v>
      </c>
      <c r="AJ134" s="6" t="s">
        <v>32</v>
      </c>
      <c r="AK134" s="6" t="s">
        <v>119</v>
      </c>
    </row>
    <row r="135" spans="1:37" ht="28">
      <c r="A135" s="6" t="str">
        <f t="shared" si="40"/>
        <v>MSP-2020</v>
      </c>
      <c r="B135" s="6" t="s">
        <v>115</v>
      </c>
      <c r="C135" s="6" t="s">
        <v>116</v>
      </c>
      <c r="D135" s="6" t="s">
        <v>117</v>
      </c>
      <c r="E135" s="6" t="s">
        <v>118</v>
      </c>
      <c r="F135" s="6" t="s">
        <v>31</v>
      </c>
      <c r="G135" s="11">
        <v>2020</v>
      </c>
      <c r="H135" s="9">
        <v>7415203</v>
      </c>
      <c r="I135" s="18">
        <v>218642000</v>
      </c>
      <c r="J135" s="41"/>
      <c r="K135" s="41"/>
      <c r="L135" s="18">
        <v>9974000</v>
      </c>
      <c r="M135" s="18">
        <v>2969000</v>
      </c>
      <c r="N135" s="18">
        <v>9044000</v>
      </c>
      <c r="O135" s="18">
        <v>48231000</v>
      </c>
      <c r="P135" s="41"/>
      <c r="Q135" s="18">
        <v>4146000</v>
      </c>
      <c r="R135" s="41"/>
      <c r="S135" s="41"/>
      <c r="T135" s="18">
        <v>174544000</v>
      </c>
      <c r="U135" s="18">
        <v>-116212000</v>
      </c>
      <c r="V135" s="18">
        <v>221831000</v>
      </c>
      <c r="W135" s="18">
        <v>1481376000</v>
      </c>
      <c r="X135" s="18">
        <v>98460000</v>
      </c>
      <c r="Y135" s="18">
        <f t="shared" si="41"/>
        <v>74364000</v>
      </c>
      <c r="Z135" s="42">
        <f t="shared" si="42"/>
        <v>0.34011763522104627</v>
      </c>
      <c r="AA135" s="6" t="str">
        <f t="shared" si="43"/>
        <v>No</v>
      </c>
      <c r="AB135" s="6" t="str">
        <f t="shared" si="44"/>
        <v>No</v>
      </c>
      <c r="AC135" s="6" t="str">
        <f t="shared" si="45"/>
        <v>No</v>
      </c>
      <c r="AD135" s="6" t="str">
        <f t="shared" si="46"/>
        <v>Yes</v>
      </c>
      <c r="AE135" s="6" t="str">
        <f t="shared" si="47"/>
        <v>No</v>
      </c>
      <c r="AF135" s="6" t="s">
        <v>639</v>
      </c>
      <c r="AG135" s="6" t="str">
        <f t="shared" si="48"/>
        <v>Yes</v>
      </c>
      <c r="AH135" s="6" t="str">
        <f t="shared" si="49"/>
        <v>Clean</v>
      </c>
      <c r="AI135" s="6" t="s">
        <v>602</v>
      </c>
      <c r="AJ135" s="6" t="s">
        <v>32</v>
      </c>
      <c r="AK135" s="6" t="s">
        <v>119</v>
      </c>
    </row>
    <row r="136" spans="1:37" ht="28">
      <c r="A136" s="6" t="str">
        <f t="shared" si="40"/>
        <v>MSP-2021</v>
      </c>
      <c r="B136" s="6" t="s">
        <v>115</v>
      </c>
      <c r="C136" s="6" t="s">
        <v>116</v>
      </c>
      <c r="D136" s="6" t="s">
        <v>117</v>
      </c>
      <c r="E136" s="6" t="s">
        <v>118</v>
      </c>
      <c r="F136" s="6" t="s">
        <v>31</v>
      </c>
      <c r="G136" s="11">
        <v>2021</v>
      </c>
      <c r="H136" s="9">
        <v>12581412</v>
      </c>
      <c r="I136" s="18">
        <v>294014000</v>
      </c>
      <c r="J136" s="41"/>
      <c r="K136" s="41"/>
      <c r="L136" s="18">
        <v>15953000</v>
      </c>
      <c r="M136" s="18">
        <v>6807000</v>
      </c>
      <c r="N136" s="18">
        <v>17365000</v>
      </c>
      <c r="O136" s="18">
        <v>74533000</v>
      </c>
      <c r="P136" s="41"/>
      <c r="Q136" s="18">
        <v>4877000</v>
      </c>
      <c r="R136" s="41"/>
      <c r="S136" s="41"/>
      <c r="T136" s="18">
        <v>170759000</v>
      </c>
      <c r="U136" s="18">
        <v>-54732000</v>
      </c>
      <c r="V136" s="18">
        <v>188295000</v>
      </c>
      <c r="W136" s="18">
        <v>1423167000</v>
      </c>
      <c r="X136" s="18">
        <v>123748000</v>
      </c>
      <c r="Y136" s="18">
        <f t="shared" si="41"/>
        <v>119535000</v>
      </c>
      <c r="Z136" s="42">
        <f t="shared" si="42"/>
        <v>0.40656227254484478</v>
      </c>
      <c r="AA136" s="6" t="str">
        <f t="shared" si="43"/>
        <v>No</v>
      </c>
      <c r="AB136" s="6" t="str">
        <f t="shared" si="44"/>
        <v>No</v>
      </c>
      <c r="AC136" s="6" t="str">
        <f t="shared" si="45"/>
        <v>No</v>
      </c>
      <c r="AD136" s="6" t="str">
        <f t="shared" si="46"/>
        <v>Yes</v>
      </c>
      <c r="AE136" s="6" t="str">
        <f t="shared" si="47"/>
        <v>No</v>
      </c>
      <c r="AF136" s="6" t="s">
        <v>639</v>
      </c>
      <c r="AG136" s="6" t="str">
        <f t="shared" si="48"/>
        <v>Yes</v>
      </c>
      <c r="AH136" s="6" t="str">
        <f t="shared" si="49"/>
        <v>Clean</v>
      </c>
      <c r="AI136" s="6" t="s">
        <v>602</v>
      </c>
      <c r="AJ136" s="6" t="s">
        <v>32</v>
      </c>
      <c r="AK136" s="6" t="s">
        <v>119</v>
      </c>
    </row>
    <row r="137" spans="1:37" ht="28">
      <c r="A137" s="6" t="str">
        <f t="shared" si="40"/>
        <v>MSP-2022</v>
      </c>
      <c r="B137" s="6" t="s">
        <v>115</v>
      </c>
      <c r="C137" s="6" t="s">
        <v>116</v>
      </c>
      <c r="D137" s="6" t="s">
        <v>117</v>
      </c>
      <c r="E137" s="6" t="s">
        <v>118</v>
      </c>
      <c r="F137" s="6" t="s">
        <v>31</v>
      </c>
      <c r="G137" s="11">
        <v>2022</v>
      </c>
      <c r="H137" s="9">
        <v>15614084</v>
      </c>
      <c r="I137" s="18">
        <v>353004000</v>
      </c>
      <c r="J137" s="41"/>
      <c r="K137" s="41"/>
      <c r="L137" s="18">
        <v>17046000</v>
      </c>
      <c r="M137" s="18">
        <v>7182000</v>
      </c>
      <c r="N137" s="18">
        <v>23159000</v>
      </c>
      <c r="O137" s="18">
        <v>116583000</v>
      </c>
      <c r="P137" s="41"/>
      <c r="Q137" s="18">
        <v>-1491000</v>
      </c>
      <c r="R137" s="41"/>
      <c r="S137" s="41"/>
      <c r="T137" s="18">
        <v>207703000</v>
      </c>
      <c r="U137" s="18">
        <v>-39823000</v>
      </c>
      <c r="V137" s="18">
        <v>218902000</v>
      </c>
      <c r="W137" s="18">
        <v>1653610000</v>
      </c>
      <c r="X137" s="18">
        <v>131375000</v>
      </c>
      <c r="Y137" s="18">
        <f t="shared" si="41"/>
        <v>162479000</v>
      </c>
      <c r="Z137" s="42">
        <f t="shared" si="42"/>
        <v>0.46027523767436063</v>
      </c>
      <c r="AA137" s="6" t="str">
        <f t="shared" si="43"/>
        <v>No</v>
      </c>
      <c r="AB137" s="6" t="str">
        <f t="shared" si="44"/>
        <v>No</v>
      </c>
      <c r="AC137" s="6" t="str">
        <f t="shared" si="45"/>
        <v>Yes</v>
      </c>
      <c r="AD137" s="6" t="str">
        <f t="shared" si="46"/>
        <v>Yes</v>
      </c>
      <c r="AE137" s="6" t="str">
        <f t="shared" si="47"/>
        <v>No</v>
      </c>
      <c r="AF137" s="6" t="s">
        <v>639</v>
      </c>
      <c r="AG137" s="6" t="str">
        <f t="shared" si="48"/>
        <v>Yes</v>
      </c>
      <c r="AH137" s="6" t="str">
        <f t="shared" si="49"/>
        <v>Clean - Flagged</v>
      </c>
      <c r="AI137" s="6" t="s">
        <v>602</v>
      </c>
      <c r="AJ137" s="6" t="s">
        <v>32</v>
      </c>
      <c r="AK137" s="6" t="s">
        <v>119</v>
      </c>
    </row>
    <row r="138" spans="1:37" ht="28">
      <c r="A138" s="6" t="str">
        <f t="shared" si="40"/>
        <v>MSP-2023</v>
      </c>
      <c r="B138" s="6" t="s">
        <v>115</v>
      </c>
      <c r="C138" s="6" t="s">
        <v>116</v>
      </c>
      <c r="D138" s="6" t="s">
        <v>117</v>
      </c>
      <c r="E138" s="6" t="s">
        <v>118</v>
      </c>
      <c r="F138" s="6" t="s">
        <v>31</v>
      </c>
      <c r="G138" s="11">
        <v>2023</v>
      </c>
      <c r="H138" s="9">
        <v>16887115</v>
      </c>
      <c r="I138" s="18">
        <v>439900000</v>
      </c>
      <c r="J138" s="41"/>
      <c r="K138" s="41"/>
      <c r="L138" s="18">
        <v>29590000</v>
      </c>
      <c r="M138" s="18">
        <v>10342000</v>
      </c>
      <c r="N138" s="18">
        <v>23312000</v>
      </c>
      <c r="O138" s="18">
        <v>139717000</v>
      </c>
      <c r="P138" s="41"/>
      <c r="Q138" s="18">
        <v>-1160000</v>
      </c>
      <c r="R138" s="41"/>
      <c r="S138" s="41"/>
      <c r="T138" s="18">
        <v>241318000</v>
      </c>
      <c r="U138" s="18">
        <v>11693000</v>
      </c>
      <c r="V138" s="18">
        <v>257740000</v>
      </c>
      <c r="W138" s="18">
        <v>1583306000</v>
      </c>
      <c r="X138" s="18">
        <v>170619000</v>
      </c>
      <c r="Y138" s="18">
        <f t="shared" si="41"/>
        <v>201801000</v>
      </c>
      <c r="Z138" s="42">
        <f t="shared" si="42"/>
        <v>0.45874289611275287</v>
      </c>
      <c r="AA138" s="6" t="str">
        <f t="shared" si="43"/>
        <v>No</v>
      </c>
      <c r="AB138" s="6" t="str">
        <f t="shared" si="44"/>
        <v>No</v>
      </c>
      <c r="AC138" s="6" t="str">
        <f t="shared" si="45"/>
        <v>Yes</v>
      </c>
      <c r="AD138" s="6" t="str">
        <f t="shared" si="46"/>
        <v>No</v>
      </c>
      <c r="AE138" s="6" t="str">
        <f t="shared" si="47"/>
        <v>No</v>
      </c>
      <c r="AF138" s="6" t="s">
        <v>639</v>
      </c>
      <c r="AG138" s="6" t="str">
        <f t="shared" si="48"/>
        <v>Yes</v>
      </c>
      <c r="AH138" s="6" t="str">
        <f t="shared" si="49"/>
        <v>Clean - Flagged</v>
      </c>
      <c r="AI138" s="6" t="s">
        <v>602</v>
      </c>
      <c r="AJ138" s="6" t="s">
        <v>32</v>
      </c>
      <c r="AK138" s="6" t="s">
        <v>119</v>
      </c>
    </row>
    <row r="139" spans="1:37" ht="28">
      <c r="A139" s="6" t="str">
        <f t="shared" si="40"/>
        <v>MSP-2024</v>
      </c>
      <c r="B139" s="6" t="s">
        <v>115</v>
      </c>
      <c r="C139" s="6" t="s">
        <v>116</v>
      </c>
      <c r="D139" s="6" t="s">
        <v>117</v>
      </c>
      <c r="E139" s="6" t="s">
        <v>118</v>
      </c>
      <c r="F139" s="6" t="s">
        <v>31</v>
      </c>
      <c r="G139" s="11">
        <v>2024</v>
      </c>
      <c r="H139" s="9">
        <v>18064839</v>
      </c>
      <c r="I139" s="18">
        <v>484602000</v>
      </c>
      <c r="J139" s="41"/>
      <c r="K139" s="41"/>
      <c r="L139" s="18">
        <v>31479000</v>
      </c>
      <c r="M139" s="18">
        <v>10775000</v>
      </c>
      <c r="N139" s="18">
        <v>24243000</v>
      </c>
      <c r="O139" s="18">
        <v>147132000</v>
      </c>
      <c r="P139" s="41"/>
      <c r="Q139" s="18">
        <v>-488000</v>
      </c>
      <c r="R139" s="41"/>
      <c r="S139" s="41"/>
      <c r="T139" s="18">
        <v>261647000</v>
      </c>
      <c r="U139" s="18">
        <v>26898000</v>
      </c>
      <c r="V139" s="18">
        <v>415954000</v>
      </c>
      <c r="W139" s="18">
        <v>2180402000</v>
      </c>
      <c r="X139" s="18">
        <v>199875000</v>
      </c>
      <c r="Y139" s="18">
        <f t="shared" si="41"/>
        <v>213141000</v>
      </c>
      <c r="Z139" s="42">
        <f t="shared" si="42"/>
        <v>0.43982690950511966</v>
      </c>
      <c r="AA139" s="6" t="str">
        <f t="shared" si="43"/>
        <v>No</v>
      </c>
      <c r="AB139" s="6" t="str">
        <f t="shared" si="44"/>
        <v>No</v>
      </c>
      <c r="AC139" s="6" t="str">
        <f t="shared" si="45"/>
        <v>Yes</v>
      </c>
      <c r="AD139" s="6" t="str">
        <f t="shared" si="46"/>
        <v>No</v>
      </c>
      <c r="AE139" s="6" t="str">
        <f t="shared" si="47"/>
        <v>No</v>
      </c>
      <c r="AF139" s="6" t="s">
        <v>639</v>
      </c>
      <c r="AG139" s="6" t="str">
        <f t="shared" si="48"/>
        <v>Yes</v>
      </c>
      <c r="AH139" s="6" t="str">
        <f t="shared" si="49"/>
        <v>Clean - Flagged</v>
      </c>
      <c r="AI139" s="6" t="s">
        <v>602</v>
      </c>
      <c r="AJ139" s="6" t="s">
        <v>32</v>
      </c>
      <c r="AK139" s="6" t="s">
        <v>119</v>
      </c>
    </row>
    <row r="140" spans="1:37" ht="28">
      <c r="A140" s="6" t="str">
        <f t="shared" si="40"/>
        <v>ORD-2019</v>
      </c>
      <c r="B140" s="6" t="s">
        <v>64</v>
      </c>
      <c r="C140" s="6" t="s">
        <v>65</v>
      </c>
      <c r="D140" s="6" t="s">
        <v>66</v>
      </c>
      <c r="E140" s="6" t="s">
        <v>67</v>
      </c>
      <c r="F140" s="6" t="s">
        <v>31</v>
      </c>
      <c r="G140" s="11">
        <v>2019</v>
      </c>
      <c r="H140" s="9">
        <v>42248370</v>
      </c>
      <c r="I140" s="18">
        <v>1253486000</v>
      </c>
      <c r="J140" s="41"/>
      <c r="K140" s="41"/>
      <c r="L140" s="18">
        <v>61690000</v>
      </c>
      <c r="M140" s="18">
        <v>52645000</v>
      </c>
      <c r="N140" s="18">
        <v>40703000</v>
      </c>
      <c r="O140" s="18">
        <v>108237000</v>
      </c>
      <c r="P140" s="41"/>
      <c r="Q140" s="18">
        <v>4079000</v>
      </c>
      <c r="R140" s="41"/>
      <c r="S140" s="41"/>
      <c r="T140" s="18">
        <v>842584000</v>
      </c>
      <c r="U140" s="18">
        <v>85748000</v>
      </c>
      <c r="V140" s="18">
        <v>810272000</v>
      </c>
      <c r="W140" s="18">
        <v>10330720000</v>
      </c>
      <c r="X140" s="18">
        <v>856369000</v>
      </c>
      <c r="Y140" s="18">
        <f t="shared" si="41"/>
        <v>267354000</v>
      </c>
      <c r="Z140" s="42">
        <f t="shared" si="42"/>
        <v>0.21328838136205749</v>
      </c>
      <c r="AA140" s="6" t="str">
        <f t="shared" si="43"/>
        <v>No</v>
      </c>
      <c r="AB140" s="6" t="str">
        <f t="shared" si="44"/>
        <v>No</v>
      </c>
      <c r="AC140" s="6" t="str">
        <f t="shared" si="45"/>
        <v>No</v>
      </c>
      <c r="AD140" s="6" t="str">
        <f t="shared" si="46"/>
        <v>No</v>
      </c>
      <c r="AE140" s="6" t="str">
        <f t="shared" si="47"/>
        <v>No</v>
      </c>
      <c r="AF140" s="6" t="s">
        <v>639</v>
      </c>
      <c r="AG140" s="6" t="str">
        <f t="shared" si="48"/>
        <v>Yes</v>
      </c>
      <c r="AH140" s="6" t="str">
        <f t="shared" si="49"/>
        <v>Clean</v>
      </c>
      <c r="AI140" s="6" t="s">
        <v>602</v>
      </c>
      <c r="AJ140" s="6" t="s">
        <v>32</v>
      </c>
      <c r="AK140" s="6" t="s">
        <v>68</v>
      </c>
    </row>
    <row r="141" spans="1:37" ht="28">
      <c r="A141" s="6" t="str">
        <f t="shared" si="40"/>
        <v>ORD-2020</v>
      </c>
      <c r="B141" s="6" t="s">
        <v>64</v>
      </c>
      <c r="C141" s="6" t="s">
        <v>65</v>
      </c>
      <c r="D141" s="6" t="s">
        <v>66</v>
      </c>
      <c r="E141" s="6" t="s">
        <v>67</v>
      </c>
      <c r="F141" s="6" t="s">
        <v>31</v>
      </c>
      <c r="G141" s="11">
        <v>2020</v>
      </c>
      <c r="H141" s="9">
        <v>15351046</v>
      </c>
      <c r="I141" s="18">
        <v>905613000</v>
      </c>
      <c r="J141" s="41"/>
      <c r="K141" s="41"/>
      <c r="L141" s="18">
        <v>28819000</v>
      </c>
      <c r="M141" s="18">
        <v>47162000</v>
      </c>
      <c r="N141" s="18">
        <v>32647000</v>
      </c>
      <c r="O141" s="18">
        <v>45075000</v>
      </c>
      <c r="P141" s="41"/>
      <c r="Q141" s="18">
        <v>4033000</v>
      </c>
      <c r="R141" s="41"/>
      <c r="S141" s="41"/>
      <c r="T141" s="18">
        <v>691725000</v>
      </c>
      <c r="U141" s="18">
        <v>-78324000</v>
      </c>
      <c r="V141" s="18">
        <v>899470000</v>
      </c>
      <c r="W141" s="18">
        <v>10035505000</v>
      </c>
      <c r="X141" s="18">
        <v>665666000</v>
      </c>
      <c r="Y141" s="18">
        <f t="shared" si="41"/>
        <v>157736000</v>
      </c>
      <c r="Z141" s="42">
        <f t="shared" si="42"/>
        <v>0.17417594491245156</v>
      </c>
      <c r="AA141" s="6" t="str">
        <f t="shared" si="43"/>
        <v>No</v>
      </c>
      <c r="AB141" s="6" t="str">
        <f t="shared" si="44"/>
        <v>No</v>
      </c>
      <c r="AC141" s="6" t="str">
        <f t="shared" si="45"/>
        <v>No</v>
      </c>
      <c r="AD141" s="6" t="str">
        <f t="shared" si="46"/>
        <v>Yes</v>
      </c>
      <c r="AE141" s="6" t="str">
        <f t="shared" si="47"/>
        <v>No</v>
      </c>
      <c r="AF141" s="6" t="s">
        <v>639</v>
      </c>
      <c r="AG141" s="6" t="str">
        <f t="shared" si="48"/>
        <v>Yes</v>
      </c>
      <c r="AH141" s="6" t="str">
        <f t="shared" si="49"/>
        <v>Clean</v>
      </c>
      <c r="AI141" s="6" t="s">
        <v>602</v>
      </c>
      <c r="AJ141" s="6" t="s">
        <v>32</v>
      </c>
      <c r="AK141" s="6" t="s">
        <v>68</v>
      </c>
    </row>
    <row r="142" spans="1:37" ht="28">
      <c r="A142" s="6" t="str">
        <f t="shared" si="40"/>
        <v>ORD-2021</v>
      </c>
      <c r="B142" s="6" t="s">
        <v>64</v>
      </c>
      <c r="C142" s="6" t="s">
        <v>65</v>
      </c>
      <c r="D142" s="6" t="s">
        <v>66</v>
      </c>
      <c r="E142" s="6" t="s">
        <v>67</v>
      </c>
      <c r="F142" s="6" t="s">
        <v>31</v>
      </c>
      <c r="G142" s="11">
        <v>2021</v>
      </c>
      <c r="H142" s="9">
        <v>26945359</v>
      </c>
      <c r="I142" s="18">
        <v>1145152000</v>
      </c>
      <c r="J142" s="41"/>
      <c r="K142" s="41"/>
      <c r="L142" s="18">
        <v>34330000</v>
      </c>
      <c r="M142" s="18">
        <v>27636000</v>
      </c>
      <c r="N142" s="18">
        <v>52065000</v>
      </c>
      <c r="O142" s="18">
        <v>79014000</v>
      </c>
      <c r="P142" s="41"/>
      <c r="Q142" s="18">
        <v>4128000</v>
      </c>
      <c r="R142" s="41"/>
      <c r="S142" s="41"/>
      <c r="T142" s="18">
        <v>772932000</v>
      </c>
      <c r="U142" s="18">
        <v>53345000</v>
      </c>
      <c r="V142" s="18">
        <v>775444000</v>
      </c>
      <c r="W142" s="18">
        <v>9884537000</v>
      </c>
      <c r="X142" s="18">
        <v>852956000</v>
      </c>
      <c r="Y142" s="18">
        <f t="shared" si="41"/>
        <v>197173000</v>
      </c>
      <c r="Z142" s="42">
        <f t="shared" si="42"/>
        <v>0.17218063628234506</v>
      </c>
      <c r="AA142" s="6" t="str">
        <f t="shared" si="43"/>
        <v>No</v>
      </c>
      <c r="AB142" s="6" t="str">
        <f t="shared" si="44"/>
        <v>No</v>
      </c>
      <c r="AC142" s="6" t="str">
        <f t="shared" si="45"/>
        <v>No</v>
      </c>
      <c r="AD142" s="6" t="str">
        <f t="shared" si="46"/>
        <v>No</v>
      </c>
      <c r="AE142" s="6" t="str">
        <f t="shared" si="47"/>
        <v>No</v>
      </c>
      <c r="AF142" s="6" t="s">
        <v>639</v>
      </c>
      <c r="AG142" s="6" t="str">
        <f t="shared" si="48"/>
        <v>Yes</v>
      </c>
      <c r="AH142" s="6" t="str">
        <f t="shared" si="49"/>
        <v>Clean</v>
      </c>
      <c r="AI142" s="6" t="s">
        <v>602</v>
      </c>
      <c r="AJ142" s="6" t="s">
        <v>32</v>
      </c>
      <c r="AK142" s="6" t="s">
        <v>68</v>
      </c>
    </row>
    <row r="143" spans="1:37" ht="28">
      <c r="A143" s="6" t="str">
        <f t="shared" si="40"/>
        <v>ORD-2022</v>
      </c>
      <c r="B143" s="6" t="s">
        <v>64</v>
      </c>
      <c r="C143" s="6" t="s">
        <v>65</v>
      </c>
      <c r="D143" s="6" t="s">
        <v>66</v>
      </c>
      <c r="E143" s="6" t="s">
        <v>67</v>
      </c>
      <c r="F143" s="6" t="s">
        <v>31</v>
      </c>
      <c r="G143" s="11">
        <v>2022</v>
      </c>
      <c r="H143" s="9">
        <v>34095710</v>
      </c>
      <c r="I143" s="18">
        <v>1259433000</v>
      </c>
      <c r="J143" s="41"/>
      <c r="K143" s="41"/>
      <c r="L143" s="18">
        <v>50655000</v>
      </c>
      <c r="M143" s="18">
        <v>44278000</v>
      </c>
      <c r="N143" s="18">
        <v>41223000</v>
      </c>
      <c r="O143" s="18">
        <v>114989000</v>
      </c>
      <c r="P143" s="41"/>
      <c r="Q143" s="18">
        <v>3804000</v>
      </c>
      <c r="R143" s="41"/>
      <c r="S143" s="41"/>
      <c r="T143" s="18">
        <v>890369000</v>
      </c>
      <c r="U143" s="18">
        <v>-6282000</v>
      </c>
      <c r="V143" s="18">
        <v>703242000</v>
      </c>
      <c r="W143" s="18">
        <v>10884262000</v>
      </c>
      <c r="X143" s="18">
        <v>885909000</v>
      </c>
      <c r="Y143" s="18">
        <f t="shared" si="41"/>
        <v>254949000</v>
      </c>
      <c r="Z143" s="42">
        <f t="shared" si="42"/>
        <v>0.2024315703971549</v>
      </c>
      <c r="AA143" s="6" t="str">
        <f t="shared" si="43"/>
        <v>No</v>
      </c>
      <c r="AB143" s="6" t="str">
        <f t="shared" si="44"/>
        <v>No</v>
      </c>
      <c r="AC143" s="6" t="str">
        <f t="shared" si="45"/>
        <v>No</v>
      </c>
      <c r="AD143" s="6" t="str">
        <f t="shared" si="46"/>
        <v>Yes</v>
      </c>
      <c r="AE143" s="6" t="str">
        <f t="shared" si="47"/>
        <v>No</v>
      </c>
      <c r="AF143" s="6" t="s">
        <v>639</v>
      </c>
      <c r="AG143" s="6" t="str">
        <f t="shared" si="48"/>
        <v>Yes</v>
      </c>
      <c r="AH143" s="6" t="str">
        <f t="shared" si="49"/>
        <v>Clean</v>
      </c>
      <c r="AI143" s="6" t="s">
        <v>602</v>
      </c>
      <c r="AJ143" s="6" t="s">
        <v>32</v>
      </c>
      <c r="AK143" s="6" t="s">
        <v>68</v>
      </c>
    </row>
    <row r="144" spans="1:37" ht="28">
      <c r="A144" s="6" t="str">
        <f t="shared" si="40"/>
        <v>ORD-2023</v>
      </c>
      <c r="B144" s="6" t="s">
        <v>64</v>
      </c>
      <c r="C144" s="6" t="s">
        <v>65</v>
      </c>
      <c r="D144" s="6" t="s">
        <v>66</v>
      </c>
      <c r="E144" s="6" t="s">
        <v>67</v>
      </c>
      <c r="F144" s="6" t="s">
        <v>31</v>
      </c>
      <c r="G144" s="11">
        <v>2023</v>
      </c>
      <c r="H144" s="9">
        <v>36597770</v>
      </c>
      <c r="I144" s="18">
        <v>1427751000</v>
      </c>
      <c r="J144" s="41"/>
      <c r="K144" s="41"/>
      <c r="L144" s="18">
        <v>56135000</v>
      </c>
      <c r="M144" s="18">
        <v>59721000</v>
      </c>
      <c r="N144" s="18">
        <v>38712000</v>
      </c>
      <c r="O144" s="18">
        <v>123156000</v>
      </c>
      <c r="P144" s="41"/>
      <c r="Q144" s="18">
        <v>4563000</v>
      </c>
      <c r="R144" s="41"/>
      <c r="S144" s="41"/>
      <c r="T144" s="18">
        <v>975544000</v>
      </c>
      <c r="U144" s="18">
        <v>56856000</v>
      </c>
      <c r="V144" s="18">
        <v>608455000</v>
      </c>
      <c r="W144" s="18">
        <v>10545449000</v>
      </c>
      <c r="X144" s="18">
        <v>1019960000</v>
      </c>
      <c r="Y144" s="18">
        <f t="shared" si="41"/>
        <v>282287000</v>
      </c>
      <c r="Z144" s="42">
        <f t="shared" si="42"/>
        <v>0.19771444740714592</v>
      </c>
      <c r="AA144" s="6" t="str">
        <f t="shared" si="43"/>
        <v>No</v>
      </c>
      <c r="AB144" s="6" t="str">
        <f t="shared" si="44"/>
        <v>No</v>
      </c>
      <c r="AC144" s="6" t="str">
        <f t="shared" si="45"/>
        <v>No</v>
      </c>
      <c r="AD144" s="6" t="str">
        <f t="shared" si="46"/>
        <v>No</v>
      </c>
      <c r="AE144" s="6" t="str">
        <f t="shared" si="47"/>
        <v>No</v>
      </c>
      <c r="AF144" s="6" t="s">
        <v>639</v>
      </c>
      <c r="AG144" s="6" t="str">
        <f t="shared" si="48"/>
        <v>Yes</v>
      </c>
      <c r="AH144" s="6" t="str">
        <f t="shared" si="49"/>
        <v>Clean</v>
      </c>
      <c r="AI144" s="6" t="s">
        <v>602</v>
      </c>
      <c r="AJ144" s="6" t="s">
        <v>32</v>
      </c>
      <c r="AK144" s="6" t="s">
        <v>68</v>
      </c>
    </row>
    <row r="145" spans="1:37" ht="28">
      <c r="A145" s="6" t="str">
        <f t="shared" si="40"/>
        <v>ORD-2024</v>
      </c>
      <c r="B145" s="6" t="s">
        <v>64</v>
      </c>
      <c r="C145" s="6" t="s">
        <v>65</v>
      </c>
      <c r="D145" s="6" t="s">
        <v>66</v>
      </c>
      <c r="E145" s="6" t="s">
        <v>67</v>
      </c>
      <c r="F145" s="6" t="s">
        <v>31</v>
      </c>
      <c r="G145" s="11">
        <v>2024</v>
      </c>
      <c r="H145" s="9">
        <v>39983139</v>
      </c>
      <c r="I145" s="18">
        <v>1612991000</v>
      </c>
      <c r="J145" s="41"/>
      <c r="K145" s="41"/>
      <c r="L145" s="18">
        <v>61731000</v>
      </c>
      <c r="M145" s="18">
        <v>54920000</v>
      </c>
      <c r="N145" s="18">
        <v>46107000</v>
      </c>
      <c r="O145" s="18">
        <v>126200000</v>
      </c>
      <c r="P145" s="41"/>
      <c r="Q145" s="18">
        <v>4371000</v>
      </c>
      <c r="R145" s="41"/>
      <c r="S145" s="41"/>
      <c r="T145" s="18">
        <v>959399000</v>
      </c>
      <c r="U145" s="18">
        <v>226804000</v>
      </c>
      <c r="V145" s="18">
        <v>633671000</v>
      </c>
      <c r="W145" s="18">
        <v>11136003000</v>
      </c>
      <c r="X145" s="18">
        <v>1181862000</v>
      </c>
      <c r="Y145" s="18">
        <f t="shared" si="41"/>
        <v>293329000</v>
      </c>
      <c r="Z145" s="42">
        <f t="shared" si="42"/>
        <v>0.18185408350077589</v>
      </c>
      <c r="AA145" s="6" t="str">
        <f t="shared" si="43"/>
        <v>No</v>
      </c>
      <c r="AB145" s="6" t="str">
        <f t="shared" si="44"/>
        <v>No</v>
      </c>
      <c r="AC145" s="6" t="str">
        <f t="shared" si="45"/>
        <v>No</v>
      </c>
      <c r="AD145" s="6" t="str">
        <f t="shared" si="46"/>
        <v>No</v>
      </c>
      <c r="AE145" s="6" t="str">
        <f t="shared" si="47"/>
        <v>No</v>
      </c>
      <c r="AF145" s="6" t="s">
        <v>639</v>
      </c>
      <c r="AG145" s="6" t="str">
        <f t="shared" si="48"/>
        <v>Yes</v>
      </c>
      <c r="AH145" s="6" t="str">
        <f t="shared" si="49"/>
        <v>Clean</v>
      </c>
      <c r="AI145" s="6" t="s">
        <v>602</v>
      </c>
      <c r="AJ145" s="6" t="s">
        <v>32</v>
      </c>
      <c r="AK145" s="6" t="s">
        <v>68</v>
      </c>
    </row>
    <row r="146" spans="1:37" ht="28">
      <c r="A146" s="6" t="str">
        <f t="shared" si="40"/>
        <v>PHL-2019</v>
      </c>
      <c r="B146" s="6" t="s">
        <v>110</v>
      </c>
      <c r="C146" s="6" t="s">
        <v>111</v>
      </c>
      <c r="D146" s="6" t="s">
        <v>112</v>
      </c>
      <c r="E146" s="6" t="s">
        <v>113</v>
      </c>
      <c r="F146" s="6" t="s">
        <v>31</v>
      </c>
      <c r="G146" s="11">
        <v>2019</v>
      </c>
      <c r="H146" s="9">
        <v>16088424</v>
      </c>
      <c r="I146" s="18">
        <v>427578000</v>
      </c>
      <c r="J146" s="41"/>
      <c r="K146" s="41"/>
      <c r="L146" s="18">
        <v>20432000</v>
      </c>
      <c r="M146" s="18">
        <v>18294000</v>
      </c>
      <c r="N146" s="18">
        <v>22955000</v>
      </c>
      <c r="O146" s="18">
        <v>83564000</v>
      </c>
      <c r="P146" s="41"/>
      <c r="Q146" s="18">
        <v>4267000</v>
      </c>
      <c r="R146" s="41"/>
      <c r="S146" s="41"/>
      <c r="T146" s="18">
        <v>309525000</v>
      </c>
      <c r="U146" s="18">
        <v>17374000</v>
      </c>
      <c r="V146" s="18">
        <v>107928000</v>
      </c>
      <c r="W146" s="18">
        <v>1676652000</v>
      </c>
      <c r="X146" s="18">
        <v>254007000</v>
      </c>
      <c r="Y146" s="18">
        <f t="shared" si="41"/>
        <v>149512000</v>
      </c>
      <c r="Z146" s="42">
        <f t="shared" si="42"/>
        <v>0.34967187273433153</v>
      </c>
      <c r="AA146" s="6" t="str">
        <f t="shared" si="43"/>
        <v>No</v>
      </c>
      <c r="AB146" s="6" t="str">
        <f t="shared" si="44"/>
        <v>No</v>
      </c>
      <c r="AC146" s="6" t="str">
        <f t="shared" si="45"/>
        <v>No</v>
      </c>
      <c r="AD146" s="6" t="str">
        <f t="shared" si="46"/>
        <v>No</v>
      </c>
      <c r="AE146" s="6" t="str">
        <f t="shared" si="47"/>
        <v>No</v>
      </c>
      <c r="AF146" s="6" t="s">
        <v>639</v>
      </c>
      <c r="AG146" s="6" t="str">
        <f t="shared" si="48"/>
        <v>Yes</v>
      </c>
      <c r="AH146" s="6" t="str">
        <f t="shared" si="49"/>
        <v>Clean</v>
      </c>
      <c r="AI146" s="6" t="s">
        <v>602</v>
      </c>
      <c r="AJ146" s="6" t="s">
        <v>32</v>
      </c>
      <c r="AK146" s="6" t="s">
        <v>114</v>
      </c>
    </row>
    <row r="147" spans="1:37" ht="28">
      <c r="A147" s="6" t="str">
        <f t="shared" si="40"/>
        <v>PHL-2020</v>
      </c>
      <c r="B147" s="6" t="s">
        <v>110</v>
      </c>
      <c r="C147" s="6" t="s">
        <v>111</v>
      </c>
      <c r="D147" s="6" t="s">
        <v>112</v>
      </c>
      <c r="E147" s="6" t="s">
        <v>113</v>
      </c>
      <c r="F147" s="6" t="s">
        <v>31</v>
      </c>
      <c r="G147" s="11">
        <v>2020</v>
      </c>
      <c r="H147" s="9">
        <v>11847407</v>
      </c>
      <c r="I147" s="18">
        <v>333783000</v>
      </c>
      <c r="J147" s="41"/>
      <c r="K147" s="41"/>
      <c r="L147" s="18">
        <v>16984000</v>
      </c>
      <c r="M147" s="18">
        <v>13629000</v>
      </c>
      <c r="N147" s="18">
        <v>19082000</v>
      </c>
      <c r="O147" s="18">
        <v>79894000</v>
      </c>
      <c r="P147" s="41"/>
      <c r="Q147" s="18">
        <v>4462000</v>
      </c>
      <c r="R147" s="41"/>
      <c r="S147" s="41"/>
      <c r="T147" s="18">
        <v>313486000</v>
      </c>
      <c r="U147" s="18">
        <v>-82096000</v>
      </c>
      <c r="V147" s="18">
        <v>109658000</v>
      </c>
      <c r="W147" s="18">
        <v>1625047000</v>
      </c>
      <c r="X147" s="18">
        <v>159543000</v>
      </c>
      <c r="Y147" s="18">
        <f t="shared" si="41"/>
        <v>134051000</v>
      </c>
      <c r="Z147" s="42">
        <f t="shared" si="42"/>
        <v>0.40161122645551151</v>
      </c>
      <c r="AA147" s="6" t="str">
        <f t="shared" si="43"/>
        <v>No</v>
      </c>
      <c r="AB147" s="6" t="str">
        <f t="shared" si="44"/>
        <v>No</v>
      </c>
      <c r="AC147" s="6" t="str">
        <f t="shared" si="45"/>
        <v>No</v>
      </c>
      <c r="AD147" s="6" t="str">
        <f t="shared" si="46"/>
        <v>Yes</v>
      </c>
      <c r="AE147" s="6" t="str">
        <f t="shared" si="47"/>
        <v>No</v>
      </c>
      <c r="AF147" s="6" t="s">
        <v>639</v>
      </c>
      <c r="AG147" s="6" t="str">
        <f t="shared" si="48"/>
        <v>Yes</v>
      </c>
      <c r="AH147" s="6" t="str">
        <f t="shared" si="49"/>
        <v>Clean</v>
      </c>
      <c r="AI147" s="6" t="s">
        <v>602</v>
      </c>
      <c r="AJ147" s="6" t="s">
        <v>32</v>
      </c>
      <c r="AK147" s="6" t="s">
        <v>114</v>
      </c>
    </row>
    <row r="148" spans="1:37" ht="28">
      <c r="A148" s="6" t="str">
        <f t="shared" si="40"/>
        <v>PHL-2021</v>
      </c>
      <c r="B148" s="6" t="s">
        <v>110</v>
      </c>
      <c r="C148" s="6" t="s">
        <v>111</v>
      </c>
      <c r="D148" s="6" t="s">
        <v>112</v>
      </c>
      <c r="E148" s="6" t="s">
        <v>113</v>
      </c>
      <c r="F148" s="6" t="s">
        <v>31</v>
      </c>
      <c r="G148" s="11">
        <v>2021</v>
      </c>
      <c r="H148" s="9">
        <v>6542642</v>
      </c>
      <c r="I148" s="18">
        <v>305774000</v>
      </c>
      <c r="J148" s="41"/>
      <c r="K148" s="41"/>
      <c r="L148" s="18">
        <v>4833000</v>
      </c>
      <c r="M148" s="18">
        <v>3985000</v>
      </c>
      <c r="N148" s="18">
        <v>17292000</v>
      </c>
      <c r="O148" s="18">
        <v>21838000</v>
      </c>
      <c r="P148" s="41"/>
      <c r="Q148" s="18">
        <v>2035000</v>
      </c>
      <c r="R148" s="41"/>
      <c r="S148" s="41"/>
      <c r="T148" s="18">
        <v>238746000</v>
      </c>
      <c r="U148" s="18">
        <v>-39511000</v>
      </c>
      <c r="V148" s="18">
        <v>138051000</v>
      </c>
      <c r="W148" s="18">
        <v>1529783000</v>
      </c>
      <c r="X148" s="18">
        <v>206198000</v>
      </c>
      <c r="Y148" s="18">
        <f t="shared" si="41"/>
        <v>49983000</v>
      </c>
      <c r="Z148" s="42">
        <f t="shared" si="42"/>
        <v>0.16346386546926817</v>
      </c>
      <c r="AA148" s="6" t="str">
        <f t="shared" si="43"/>
        <v>No</v>
      </c>
      <c r="AB148" s="6" t="str">
        <f t="shared" si="44"/>
        <v>No</v>
      </c>
      <c r="AC148" s="6" t="str">
        <f t="shared" si="45"/>
        <v>No</v>
      </c>
      <c r="AD148" s="6" t="str">
        <f t="shared" si="46"/>
        <v>Yes</v>
      </c>
      <c r="AE148" s="6" t="str">
        <f t="shared" si="47"/>
        <v>No</v>
      </c>
      <c r="AF148" s="6" t="s">
        <v>639</v>
      </c>
      <c r="AG148" s="6" t="str">
        <f t="shared" si="48"/>
        <v>Yes</v>
      </c>
      <c r="AH148" s="6" t="str">
        <f t="shared" si="49"/>
        <v>Clean</v>
      </c>
      <c r="AI148" s="6" t="s">
        <v>602</v>
      </c>
      <c r="AJ148" s="6" t="s">
        <v>32</v>
      </c>
      <c r="AK148" s="6" t="s">
        <v>114</v>
      </c>
    </row>
    <row r="149" spans="1:37" ht="28">
      <c r="A149" s="6" t="str">
        <f t="shared" si="40"/>
        <v>PHL-2022</v>
      </c>
      <c r="B149" s="6" t="s">
        <v>110</v>
      </c>
      <c r="C149" s="6" t="s">
        <v>111</v>
      </c>
      <c r="D149" s="6" t="s">
        <v>112</v>
      </c>
      <c r="E149" s="6" t="s">
        <v>113</v>
      </c>
      <c r="F149" s="6" t="s">
        <v>31</v>
      </c>
      <c r="G149" s="11">
        <v>2022</v>
      </c>
      <c r="H149" s="9">
        <v>11675322</v>
      </c>
      <c r="I149" s="18">
        <v>350002000</v>
      </c>
      <c r="J149" s="41"/>
      <c r="K149" s="41"/>
      <c r="L149" s="18">
        <v>13904000</v>
      </c>
      <c r="M149" s="18">
        <v>6394000</v>
      </c>
      <c r="N149" s="18">
        <v>26504000</v>
      </c>
      <c r="O149" s="18">
        <v>65618000</v>
      </c>
      <c r="P149" s="41"/>
      <c r="Q149" s="18">
        <v>4123000</v>
      </c>
      <c r="R149" s="41"/>
      <c r="S149" s="41"/>
      <c r="T149" s="18">
        <v>260665000</v>
      </c>
      <c r="U149" s="18">
        <v>-24879000</v>
      </c>
      <c r="V149" s="18">
        <v>163856000</v>
      </c>
      <c r="W149" s="18">
        <v>1673053000</v>
      </c>
      <c r="X149" s="18">
        <v>183645000</v>
      </c>
      <c r="Y149" s="18">
        <f t="shared" si="41"/>
        <v>116543000</v>
      </c>
      <c r="Z149" s="42">
        <f t="shared" si="42"/>
        <v>0.33297809726801564</v>
      </c>
      <c r="AA149" s="6" t="str">
        <f t="shared" si="43"/>
        <v>No</v>
      </c>
      <c r="AB149" s="6" t="str">
        <f t="shared" si="44"/>
        <v>No</v>
      </c>
      <c r="AC149" s="6" t="str">
        <f t="shared" si="45"/>
        <v>No</v>
      </c>
      <c r="AD149" s="6" t="str">
        <f t="shared" si="46"/>
        <v>Yes</v>
      </c>
      <c r="AE149" s="6" t="str">
        <f t="shared" si="47"/>
        <v>No</v>
      </c>
      <c r="AF149" s="6" t="s">
        <v>639</v>
      </c>
      <c r="AG149" s="6" t="str">
        <f t="shared" si="48"/>
        <v>Yes</v>
      </c>
      <c r="AH149" s="6" t="str">
        <f t="shared" si="49"/>
        <v>Clean</v>
      </c>
      <c r="AI149" s="6" t="s">
        <v>602</v>
      </c>
      <c r="AJ149" s="6" t="s">
        <v>32</v>
      </c>
      <c r="AK149" s="6" t="s">
        <v>114</v>
      </c>
    </row>
    <row r="150" spans="1:37" ht="28">
      <c r="A150" s="6" t="str">
        <f t="shared" si="40"/>
        <v>PHL-2023</v>
      </c>
      <c r="B150" s="6" t="s">
        <v>110</v>
      </c>
      <c r="C150" s="6" t="s">
        <v>111</v>
      </c>
      <c r="D150" s="6" t="s">
        <v>112</v>
      </c>
      <c r="E150" s="6" t="s">
        <v>113</v>
      </c>
      <c r="F150" s="6" t="s">
        <v>31</v>
      </c>
      <c r="G150" s="11">
        <v>2023</v>
      </c>
      <c r="H150" s="9">
        <v>13374796</v>
      </c>
      <c r="I150" s="18">
        <v>409691000</v>
      </c>
      <c r="J150" s="41"/>
      <c r="K150" s="41"/>
      <c r="L150" s="18">
        <v>26954000</v>
      </c>
      <c r="M150" s="18">
        <v>13156000</v>
      </c>
      <c r="N150" s="18">
        <v>26976000</v>
      </c>
      <c r="O150" s="18">
        <v>94709000</v>
      </c>
      <c r="P150" s="41"/>
      <c r="Q150" s="18">
        <v>4692000</v>
      </c>
      <c r="R150" s="41"/>
      <c r="S150" s="41"/>
      <c r="T150" s="18">
        <v>259782000</v>
      </c>
      <c r="U150" s="18">
        <v>28447000</v>
      </c>
      <c r="V150" s="18">
        <v>143806000</v>
      </c>
      <c r="W150" s="18">
        <v>1658208000</v>
      </c>
      <c r="X150" s="18">
        <v>205683000</v>
      </c>
      <c r="Y150" s="18">
        <f t="shared" si="41"/>
        <v>166487000</v>
      </c>
      <c r="Z150" s="42">
        <f t="shared" si="42"/>
        <v>0.40637211947540952</v>
      </c>
      <c r="AA150" s="6" t="str">
        <f t="shared" si="43"/>
        <v>No</v>
      </c>
      <c r="AB150" s="6" t="str">
        <f t="shared" si="44"/>
        <v>No</v>
      </c>
      <c r="AC150" s="6" t="str">
        <f t="shared" si="45"/>
        <v>No</v>
      </c>
      <c r="AD150" s="6" t="str">
        <f t="shared" si="46"/>
        <v>No</v>
      </c>
      <c r="AE150" s="6" t="str">
        <f t="shared" si="47"/>
        <v>No</v>
      </c>
      <c r="AF150" s="6" t="s">
        <v>639</v>
      </c>
      <c r="AG150" s="6" t="str">
        <f t="shared" si="48"/>
        <v>Yes</v>
      </c>
      <c r="AH150" s="6" t="str">
        <f t="shared" si="49"/>
        <v>Clean</v>
      </c>
      <c r="AI150" s="6" t="s">
        <v>602</v>
      </c>
      <c r="AJ150" s="6" t="s">
        <v>32</v>
      </c>
      <c r="AK150" s="6" t="s">
        <v>114</v>
      </c>
    </row>
    <row r="151" spans="1:37" ht="28">
      <c r="A151" s="6" t="str">
        <f t="shared" si="40"/>
        <v>PHL-2024</v>
      </c>
      <c r="B151" s="6" t="s">
        <v>110</v>
      </c>
      <c r="C151" s="6" t="s">
        <v>111</v>
      </c>
      <c r="D151" s="6" t="s">
        <v>112</v>
      </c>
      <c r="E151" s="6" t="s">
        <v>113</v>
      </c>
      <c r="F151" s="6" t="s">
        <v>31</v>
      </c>
      <c r="G151" s="11">
        <v>2024</v>
      </c>
      <c r="H151" s="9">
        <v>14713507</v>
      </c>
      <c r="I151" s="18">
        <v>442122000</v>
      </c>
      <c r="J151" s="41"/>
      <c r="K151" s="41"/>
      <c r="L151" s="18">
        <v>30050000</v>
      </c>
      <c r="M151" s="18">
        <v>14469000</v>
      </c>
      <c r="N151" s="18">
        <v>27557000</v>
      </c>
      <c r="O151" s="18">
        <v>104196000</v>
      </c>
      <c r="P151" s="41"/>
      <c r="Q151" s="18">
        <v>5577000</v>
      </c>
      <c r="R151" s="41"/>
      <c r="S151" s="41"/>
      <c r="T151" s="18">
        <v>304750000</v>
      </c>
      <c r="U151" s="18">
        <v>18334000</v>
      </c>
      <c r="V151" s="18">
        <v>183410000</v>
      </c>
      <c r="W151" s="18">
        <v>1638388000</v>
      </c>
      <c r="X151" s="18">
        <v>221182000</v>
      </c>
      <c r="Y151" s="18">
        <f t="shared" si="41"/>
        <v>181849000</v>
      </c>
      <c r="Z151" s="42">
        <f t="shared" si="42"/>
        <v>0.41130954804330028</v>
      </c>
      <c r="AA151" s="6" t="str">
        <f t="shared" si="43"/>
        <v>No</v>
      </c>
      <c r="AB151" s="6" t="str">
        <f t="shared" si="44"/>
        <v>No</v>
      </c>
      <c r="AC151" s="6" t="str">
        <f t="shared" si="45"/>
        <v>No</v>
      </c>
      <c r="AD151" s="6" t="str">
        <f t="shared" si="46"/>
        <v>No</v>
      </c>
      <c r="AE151" s="6" t="str">
        <f t="shared" si="47"/>
        <v>No</v>
      </c>
      <c r="AF151" s="6" t="s">
        <v>639</v>
      </c>
      <c r="AG151" s="6" t="str">
        <f t="shared" si="48"/>
        <v>Yes</v>
      </c>
      <c r="AH151" s="6" t="str">
        <f t="shared" si="49"/>
        <v>Clean</v>
      </c>
      <c r="AI151" s="6" t="s">
        <v>602</v>
      </c>
      <c r="AJ151" s="6" t="s">
        <v>32</v>
      </c>
      <c r="AK151" s="6" t="s">
        <v>114</v>
      </c>
    </row>
    <row r="152" spans="1:37" ht="28">
      <c r="A152" s="6" t="str">
        <f t="shared" si="40"/>
        <v>PHX-2019</v>
      </c>
      <c r="B152" s="6" t="s">
        <v>74</v>
      </c>
      <c r="C152" s="6" t="s">
        <v>75</v>
      </c>
      <c r="D152" s="6" t="s">
        <v>76</v>
      </c>
      <c r="E152" s="6" t="s">
        <v>77</v>
      </c>
      <c r="F152" s="6" t="s">
        <v>31</v>
      </c>
      <c r="G152" s="11">
        <v>2019</v>
      </c>
      <c r="H152" s="9">
        <v>22831945</v>
      </c>
      <c r="I152" s="18">
        <v>429013000</v>
      </c>
      <c r="J152" s="41"/>
      <c r="K152" s="41"/>
      <c r="L152" s="18">
        <v>22986000</v>
      </c>
      <c r="M152" s="18">
        <v>12625000</v>
      </c>
      <c r="N152" s="18">
        <v>50731000</v>
      </c>
      <c r="O152" s="18">
        <v>100114000</v>
      </c>
      <c r="P152" s="41"/>
      <c r="Q152" s="18">
        <v>1000</v>
      </c>
      <c r="R152" s="41"/>
      <c r="S152" s="41"/>
      <c r="T152" s="18">
        <v>287282000</v>
      </c>
      <c r="U152" s="18">
        <v>-20535000</v>
      </c>
      <c r="V152" s="18">
        <v>337107000</v>
      </c>
      <c r="W152" s="18">
        <v>1668770000</v>
      </c>
      <c r="X152" s="18">
        <v>145469000</v>
      </c>
      <c r="Y152" s="18">
        <f t="shared" si="41"/>
        <v>186457000</v>
      </c>
      <c r="Z152" s="42">
        <f t="shared" si="42"/>
        <v>0.43461853137317519</v>
      </c>
      <c r="AA152" s="6" t="str">
        <f t="shared" si="43"/>
        <v>No</v>
      </c>
      <c r="AB152" s="6" t="str">
        <f t="shared" si="44"/>
        <v>No</v>
      </c>
      <c r="AC152" s="6" t="str">
        <f t="shared" si="45"/>
        <v>No</v>
      </c>
      <c r="AD152" s="6" t="str">
        <f t="shared" si="46"/>
        <v>Yes</v>
      </c>
      <c r="AE152" s="6" t="str">
        <f t="shared" si="47"/>
        <v>No</v>
      </c>
      <c r="AF152" s="6" t="s">
        <v>639</v>
      </c>
      <c r="AG152" s="6" t="str">
        <f t="shared" si="48"/>
        <v>Yes</v>
      </c>
      <c r="AH152" s="6" t="str">
        <f t="shared" si="49"/>
        <v>Clean</v>
      </c>
      <c r="AI152" s="6" t="s">
        <v>602</v>
      </c>
      <c r="AJ152" s="6" t="s">
        <v>32</v>
      </c>
      <c r="AK152" s="6" t="s">
        <v>78</v>
      </c>
    </row>
    <row r="153" spans="1:37" ht="28">
      <c r="A153" s="6" t="str">
        <f t="shared" si="40"/>
        <v>PHX-2020</v>
      </c>
      <c r="B153" s="6" t="s">
        <v>74</v>
      </c>
      <c r="C153" s="6" t="s">
        <v>75</v>
      </c>
      <c r="D153" s="6" t="s">
        <v>76</v>
      </c>
      <c r="E153" s="6" t="s">
        <v>77</v>
      </c>
      <c r="F153" s="6" t="s">
        <v>31</v>
      </c>
      <c r="G153" s="11">
        <v>2020</v>
      </c>
      <c r="H153" s="9">
        <v>17337118</v>
      </c>
      <c r="I153" s="18">
        <v>379224000</v>
      </c>
      <c r="J153" s="41"/>
      <c r="K153" s="41"/>
      <c r="L153" s="18">
        <v>18382000</v>
      </c>
      <c r="M153" s="18">
        <v>10829000</v>
      </c>
      <c r="N153" s="18">
        <v>42163000</v>
      </c>
      <c r="O153" s="18">
        <v>77577000</v>
      </c>
      <c r="P153" s="41"/>
      <c r="Q153" s="18">
        <v>0</v>
      </c>
      <c r="R153" s="41"/>
      <c r="S153" s="41"/>
      <c r="T153" s="18">
        <v>284430000</v>
      </c>
      <c r="U153" s="18">
        <v>-77131000</v>
      </c>
      <c r="V153" s="18">
        <v>419213000</v>
      </c>
      <c r="W153" s="18">
        <v>2393275000</v>
      </c>
      <c r="X153" s="18">
        <v>145785000</v>
      </c>
      <c r="Y153" s="18">
        <f t="shared" si="41"/>
        <v>148951000</v>
      </c>
      <c r="Z153" s="42">
        <f t="shared" si="42"/>
        <v>0.39277841064911506</v>
      </c>
      <c r="AA153" s="6" t="str">
        <f t="shared" si="43"/>
        <v>No</v>
      </c>
      <c r="AB153" s="6" t="str">
        <f t="shared" si="44"/>
        <v>Yes</v>
      </c>
      <c r="AC153" s="6" t="str">
        <f t="shared" si="45"/>
        <v>No</v>
      </c>
      <c r="AD153" s="6" t="str">
        <f t="shared" si="46"/>
        <v>Yes</v>
      </c>
      <c r="AE153" s="6" t="str">
        <f t="shared" si="47"/>
        <v>No</v>
      </c>
      <c r="AF153" s="6" t="s">
        <v>639</v>
      </c>
      <c r="AG153" s="6" t="str">
        <f t="shared" si="48"/>
        <v>Yes</v>
      </c>
      <c r="AH153" s="6" t="str">
        <f t="shared" si="49"/>
        <v>Clean - Flagged</v>
      </c>
      <c r="AI153" s="6" t="s">
        <v>602</v>
      </c>
      <c r="AJ153" s="6" t="s">
        <v>32</v>
      </c>
      <c r="AK153" s="6" t="s">
        <v>78</v>
      </c>
    </row>
    <row r="154" spans="1:37" ht="28">
      <c r="A154" s="6" t="str">
        <f t="shared" si="40"/>
        <v>PHX-2021</v>
      </c>
      <c r="B154" s="6" t="s">
        <v>74</v>
      </c>
      <c r="C154" s="6" t="s">
        <v>75</v>
      </c>
      <c r="D154" s="6" t="s">
        <v>76</v>
      </c>
      <c r="E154" s="6" t="s">
        <v>77</v>
      </c>
      <c r="F154" s="6" t="s">
        <v>31</v>
      </c>
      <c r="G154" s="11">
        <v>2021</v>
      </c>
      <c r="H154" s="9">
        <v>13442029</v>
      </c>
      <c r="I154" s="18">
        <v>317179000</v>
      </c>
      <c r="J154" s="41"/>
      <c r="K154" s="41"/>
      <c r="L154" s="18">
        <v>12118000</v>
      </c>
      <c r="M154" s="18">
        <v>8932000</v>
      </c>
      <c r="N154" s="18">
        <v>40549000</v>
      </c>
      <c r="O154" s="18">
        <v>60274000</v>
      </c>
      <c r="P154" s="41"/>
      <c r="Q154" s="18">
        <v>0</v>
      </c>
      <c r="R154" s="41"/>
      <c r="S154" s="41"/>
      <c r="T154" s="18">
        <v>307312000</v>
      </c>
      <c r="U154" s="18">
        <v>-159502000</v>
      </c>
      <c r="V154" s="18">
        <v>349237000</v>
      </c>
      <c r="W154" s="18">
        <v>2343230000</v>
      </c>
      <c r="X154" s="18">
        <v>121046000</v>
      </c>
      <c r="Y154" s="18">
        <f t="shared" si="41"/>
        <v>121873000</v>
      </c>
      <c r="Z154" s="42">
        <f t="shared" si="42"/>
        <v>0.38424044467004437</v>
      </c>
      <c r="AA154" s="6" t="str">
        <f t="shared" si="43"/>
        <v>No</v>
      </c>
      <c r="AB154" s="6" t="str">
        <f t="shared" si="44"/>
        <v>Yes</v>
      </c>
      <c r="AC154" s="6" t="str">
        <f t="shared" si="45"/>
        <v>No</v>
      </c>
      <c r="AD154" s="6" t="str">
        <f t="shared" si="46"/>
        <v>Yes</v>
      </c>
      <c r="AE154" s="6" t="str">
        <f t="shared" si="47"/>
        <v>No</v>
      </c>
      <c r="AF154" s="6" t="s">
        <v>639</v>
      </c>
      <c r="AG154" s="6" t="str">
        <f t="shared" si="48"/>
        <v>Yes</v>
      </c>
      <c r="AH154" s="6" t="str">
        <f t="shared" si="49"/>
        <v>Clean - Flagged</v>
      </c>
      <c r="AI154" s="6" t="s">
        <v>602</v>
      </c>
      <c r="AJ154" s="6" t="s">
        <v>32</v>
      </c>
      <c r="AK154" s="6" t="s">
        <v>78</v>
      </c>
    </row>
    <row r="155" spans="1:37" ht="28">
      <c r="A155" s="6" t="str">
        <f t="shared" si="40"/>
        <v>PHX-2022</v>
      </c>
      <c r="B155" s="6" t="s">
        <v>74</v>
      </c>
      <c r="C155" s="6" t="s">
        <v>75</v>
      </c>
      <c r="D155" s="6" t="s">
        <v>76</v>
      </c>
      <c r="E155" s="6" t="s">
        <v>77</v>
      </c>
      <c r="F155" s="6" t="s">
        <v>31</v>
      </c>
      <c r="G155" s="11">
        <v>2022</v>
      </c>
      <c r="H155" s="9">
        <v>22091621</v>
      </c>
      <c r="I155" s="18">
        <v>435693000</v>
      </c>
      <c r="J155" s="41"/>
      <c r="K155" s="41"/>
      <c r="L155" s="18">
        <v>23445000</v>
      </c>
      <c r="M155" s="18">
        <v>15593000</v>
      </c>
      <c r="N155" s="18">
        <v>63462000</v>
      </c>
      <c r="O155" s="18">
        <v>119487000</v>
      </c>
      <c r="P155" s="41"/>
      <c r="Q155" s="18">
        <v>0</v>
      </c>
      <c r="R155" s="41"/>
      <c r="S155" s="41"/>
      <c r="T155" s="18">
        <v>256553000</v>
      </c>
      <c r="U155" s="18">
        <v>9595000</v>
      </c>
      <c r="V155" s="18">
        <v>147923000</v>
      </c>
      <c r="W155" s="18">
        <v>2563740000</v>
      </c>
      <c r="X155" s="18">
        <v>118322000</v>
      </c>
      <c r="Y155" s="18">
        <f t="shared" si="41"/>
        <v>221987000</v>
      </c>
      <c r="Z155" s="42">
        <f t="shared" si="42"/>
        <v>0.50950325114243289</v>
      </c>
      <c r="AA155" s="6" t="str">
        <f t="shared" si="43"/>
        <v>No</v>
      </c>
      <c r="AB155" s="6" t="str">
        <f t="shared" si="44"/>
        <v>Yes</v>
      </c>
      <c r="AC155" s="6" t="str">
        <f t="shared" si="45"/>
        <v>No</v>
      </c>
      <c r="AD155" s="6" t="str">
        <f t="shared" si="46"/>
        <v>No</v>
      </c>
      <c r="AE155" s="6" t="str">
        <f t="shared" si="47"/>
        <v>No</v>
      </c>
      <c r="AF155" s="6" t="s">
        <v>639</v>
      </c>
      <c r="AG155" s="6" t="str">
        <f t="shared" si="48"/>
        <v>Yes</v>
      </c>
      <c r="AH155" s="6" t="str">
        <f t="shared" si="49"/>
        <v>Clean - Flagged</v>
      </c>
      <c r="AI155" s="6" t="s">
        <v>602</v>
      </c>
      <c r="AJ155" s="6" t="s">
        <v>32</v>
      </c>
      <c r="AK155" s="6" t="s">
        <v>78</v>
      </c>
    </row>
    <row r="156" spans="1:37" ht="28">
      <c r="A156" s="6" t="str">
        <f t="shared" si="40"/>
        <v>PHX-2023</v>
      </c>
      <c r="B156" s="6" t="s">
        <v>74</v>
      </c>
      <c r="C156" s="6" t="s">
        <v>75</v>
      </c>
      <c r="D156" s="6" t="s">
        <v>76</v>
      </c>
      <c r="E156" s="6" t="s">
        <v>77</v>
      </c>
      <c r="F156" s="6" t="s">
        <v>31</v>
      </c>
      <c r="G156" s="11">
        <v>2023</v>
      </c>
      <c r="H156" s="9">
        <v>23622746</v>
      </c>
      <c r="I156" s="18">
        <v>529406000</v>
      </c>
      <c r="J156" s="41"/>
      <c r="K156" s="41"/>
      <c r="L156" s="18">
        <v>28083000</v>
      </c>
      <c r="M156" s="18">
        <v>18061000</v>
      </c>
      <c r="N156" s="18">
        <v>73774000</v>
      </c>
      <c r="O156" s="18">
        <v>150085000</v>
      </c>
      <c r="P156" s="41"/>
      <c r="Q156" s="18">
        <v>0</v>
      </c>
      <c r="R156" s="41"/>
      <c r="S156" s="41"/>
      <c r="T156" s="18">
        <v>307121000</v>
      </c>
      <c r="U156" s="18">
        <v>37316000</v>
      </c>
      <c r="V156" s="18">
        <v>97992000</v>
      </c>
      <c r="W156" s="18">
        <v>2455286000</v>
      </c>
      <c r="X156" s="18">
        <v>152586000</v>
      </c>
      <c r="Y156" s="18">
        <f t="shared" si="41"/>
        <v>270003000</v>
      </c>
      <c r="Z156" s="42">
        <f t="shared" si="42"/>
        <v>0.5100112201221747</v>
      </c>
      <c r="AA156" s="6" t="str">
        <f t="shared" si="43"/>
        <v>No</v>
      </c>
      <c r="AB156" s="6" t="str">
        <f t="shared" si="44"/>
        <v>Yes</v>
      </c>
      <c r="AC156" s="6" t="str">
        <f t="shared" si="45"/>
        <v>No</v>
      </c>
      <c r="AD156" s="6" t="str">
        <f t="shared" si="46"/>
        <v>No</v>
      </c>
      <c r="AE156" s="6" t="str">
        <f t="shared" si="47"/>
        <v>No</v>
      </c>
      <c r="AF156" s="6" t="s">
        <v>639</v>
      </c>
      <c r="AG156" s="6" t="str">
        <f t="shared" si="48"/>
        <v>Yes</v>
      </c>
      <c r="AH156" s="6" t="str">
        <f t="shared" si="49"/>
        <v>Clean - Flagged</v>
      </c>
      <c r="AI156" s="6" t="s">
        <v>602</v>
      </c>
      <c r="AJ156" s="6" t="s">
        <v>32</v>
      </c>
      <c r="AK156" s="6" t="s">
        <v>78</v>
      </c>
    </row>
    <row r="157" spans="1:37" ht="28">
      <c r="A157" s="6" t="str">
        <f t="shared" si="40"/>
        <v>PHX-2024</v>
      </c>
      <c r="B157" s="6" t="s">
        <v>74</v>
      </c>
      <c r="C157" s="6" t="s">
        <v>75</v>
      </c>
      <c r="D157" s="6" t="s">
        <v>76</v>
      </c>
      <c r="E157" s="6" t="s">
        <v>77</v>
      </c>
      <c r="F157" s="6" t="s">
        <v>31</v>
      </c>
      <c r="G157" s="11">
        <v>2024</v>
      </c>
      <c r="H157" s="9">
        <v>25475680</v>
      </c>
      <c r="I157" s="18">
        <v>598028000</v>
      </c>
      <c r="J157" s="41"/>
      <c r="K157" s="41"/>
      <c r="L157" s="18">
        <v>30780000</v>
      </c>
      <c r="M157" s="18">
        <v>17361000</v>
      </c>
      <c r="N157" s="18">
        <v>74915000</v>
      </c>
      <c r="O157" s="18">
        <v>163489000</v>
      </c>
      <c r="P157" s="41"/>
      <c r="Q157" s="18">
        <v>0</v>
      </c>
      <c r="R157" s="41"/>
      <c r="S157" s="41"/>
      <c r="T157" s="18">
        <v>334163000</v>
      </c>
      <c r="U157" s="18">
        <v>59124000</v>
      </c>
      <c r="V157" s="18">
        <v>90856000</v>
      </c>
      <c r="W157" s="18">
        <v>2366427000</v>
      </c>
      <c r="X157" s="18">
        <v>198842000</v>
      </c>
      <c r="Y157" s="18">
        <f t="shared" si="41"/>
        <v>286545000</v>
      </c>
      <c r="Z157" s="42">
        <f t="shared" si="42"/>
        <v>0.47914980569471666</v>
      </c>
      <c r="AA157" s="6" t="str">
        <f t="shared" si="43"/>
        <v>No</v>
      </c>
      <c r="AB157" s="6" t="str">
        <f t="shared" si="44"/>
        <v>Yes</v>
      </c>
      <c r="AC157" s="6" t="str">
        <f t="shared" si="45"/>
        <v>No</v>
      </c>
      <c r="AD157" s="6" t="str">
        <f t="shared" si="46"/>
        <v>No</v>
      </c>
      <c r="AE157" s="6" t="str">
        <f t="shared" si="47"/>
        <v>No</v>
      </c>
      <c r="AF157" s="6" t="s">
        <v>639</v>
      </c>
      <c r="AG157" s="6" t="str">
        <f t="shared" si="48"/>
        <v>Yes</v>
      </c>
      <c r="AH157" s="6" t="str">
        <f t="shared" si="49"/>
        <v>Clean - Flagged</v>
      </c>
      <c r="AI157" s="6" t="s">
        <v>602</v>
      </c>
      <c r="AJ157" s="6" t="s">
        <v>32</v>
      </c>
      <c r="AK157" s="6" t="s">
        <v>78</v>
      </c>
    </row>
    <row r="158" spans="1:37" ht="28">
      <c r="A158" s="6" t="str">
        <f t="shared" si="40"/>
        <v>SAN-2019</v>
      </c>
      <c r="B158" s="6" t="s">
        <v>138</v>
      </c>
      <c r="C158" s="6" t="s">
        <v>139</v>
      </c>
      <c r="D158" s="6" t="s">
        <v>140</v>
      </c>
      <c r="E158" s="6" t="s">
        <v>44</v>
      </c>
      <c r="F158" s="6" t="s">
        <v>31</v>
      </c>
      <c r="G158" s="11">
        <v>2019</v>
      </c>
      <c r="H158" s="9">
        <v>12356286</v>
      </c>
      <c r="I158" s="18">
        <v>293679000</v>
      </c>
      <c r="J158" s="41"/>
      <c r="K158" s="41"/>
      <c r="L158" s="18">
        <v>13950000</v>
      </c>
      <c r="M158" s="18">
        <v>8187000</v>
      </c>
      <c r="N158" s="18">
        <v>41144000</v>
      </c>
      <c r="O158" s="18">
        <v>62550000</v>
      </c>
      <c r="P158" s="41"/>
      <c r="Q158" s="18">
        <v>8377000</v>
      </c>
      <c r="R158" s="41"/>
      <c r="S158" s="41"/>
      <c r="T158" s="18">
        <v>177219000</v>
      </c>
      <c r="U158" s="18">
        <v>-7869000</v>
      </c>
      <c r="V158" s="18">
        <v>143004000</v>
      </c>
      <c r="W158" s="18">
        <v>1595348000</v>
      </c>
      <c r="X158" s="18">
        <v>133207000</v>
      </c>
      <c r="Y158" s="18">
        <f t="shared" si="41"/>
        <v>134208000</v>
      </c>
      <c r="Z158" s="42">
        <f t="shared" si="42"/>
        <v>0.45698875302626335</v>
      </c>
      <c r="AA158" s="6" t="str">
        <f t="shared" si="43"/>
        <v>No</v>
      </c>
      <c r="AB158" s="6" t="str">
        <f t="shared" si="44"/>
        <v>No</v>
      </c>
      <c r="AC158" s="6" t="str">
        <f t="shared" si="45"/>
        <v>No</v>
      </c>
      <c r="AD158" s="6" t="str">
        <f t="shared" si="46"/>
        <v>Yes</v>
      </c>
      <c r="AE158" s="6" t="str">
        <f t="shared" si="47"/>
        <v>No</v>
      </c>
      <c r="AF158" s="6" t="s">
        <v>639</v>
      </c>
      <c r="AG158" s="6" t="str">
        <f t="shared" si="48"/>
        <v>Yes</v>
      </c>
      <c r="AH158" s="6" t="str">
        <f t="shared" si="49"/>
        <v>Clean</v>
      </c>
      <c r="AI158" s="6" t="s">
        <v>602</v>
      </c>
      <c r="AJ158" s="6" t="s">
        <v>32</v>
      </c>
      <c r="AK158" s="6" t="s">
        <v>141</v>
      </c>
    </row>
    <row r="159" spans="1:37" ht="28">
      <c r="A159" s="6" t="str">
        <f t="shared" si="40"/>
        <v>SAN-2020</v>
      </c>
      <c r="B159" s="6" t="s">
        <v>138</v>
      </c>
      <c r="C159" s="6" t="s">
        <v>139</v>
      </c>
      <c r="D159" s="6" t="s">
        <v>140</v>
      </c>
      <c r="E159" s="6" t="s">
        <v>44</v>
      </c>
      <c r="F159" s="6" t="s">
        <v>31</v>
      </c>
      <c r="G159" s="11">
        <v>2020</v>
      </c>
      <c r="H159" s="9">
        <v>9235459</v>
      </c>
      <c r="I159" s="18">
        <v>263036000</v>
      </c>
      <c r="J159" s="41"/>
      <c r="K159" s="41"/>
      <c r="L159" s="18">
        <v>10753000</v>
      </c>
      <c r="M159" s="18">
        <v>6343000</v>
      </c>
      <c r="N159" s="18">
        <v>33135000</v>
      </c>
      <c r="O159" s="18">
        <v>50530000</v>
      </c>
      <c r="P159" s="41"/>
      <c r="Q159" s="18">
        <v>10858000</v>
      </c>
      <c r="R159" s="41"/>
      <c r="S159" s="41"/>
      <c r="T159" s="18">
        <v>162251000</v>
      </c>
      <c r="U159" s="18">
        <v>-30802000</v>
      </c>
      <c r="V159" s="18">
        <v>44730000</v>
      </c>
      <c r="W159" s="18">
        <v>1881208000</v>
      </c>
      <c r="X159" s="18">
        <v>127796000</v>
      </c>
      <c r="Y159" s="18">
        <f t="shared" si="41"/>
        <v>111619000</v>
      </c>
      <c r="Z159" s="42">
        <f t="shared" si="42"/>
        <v>0.42434875834486535</v>
      </c>
      <c r="AA159" s="6" t="str">
        <f t="shared" si="43"/>
        <v>No</v>
      </c>
      <c r="AB159" s="6" t="str">
        <f t="shared" si="44"/>
        <v>No</v>
      </c>
      <c r="AC159" s="6" t="str">
        <f t="shared" si="45"/>
        <v>No</v>
      </c>
      <c r="AD159" s="6" t="str">
        <f t="shared" si="46"/>
        <v>Yes</v>
      </c>
      <c r="AE159" s="6" t="str">
        <f t="shared" si="47"/>
        <v>No</v>
      </c>
      <c r="AF159" s="6" t="s">
        <v>639</v>
      </c>
      <c r="AG159" s="6" t="str">
        <f t="shared" si="48"/>
        <v>Yes</v>
      </c>
      <c r="AH159" s="6" t="str">
        <f t="shared" si="49"/>
        <v>Clean</v>
      </c>
      <c r="AI159" s="6" t="s">
        <v>602</v>
      </c>
      <c r="AJ159" s="6" t="s">
        <v>32</v>
      </c>
      <c r="AK159" s="6" t="s">
        <v>141</v>
      </c>
    </row>
    <row r="160" spans="1:37" ht="28">
      <c r="A160" s="6" t="str">
        <f t="shared" si="40"/>
        <v>SAN-2021</v>
      </c>
      <c r="B160" s="6" t="s">
        <v>138</v>
      </c>
      <c r="C160" s="6" t="s">
        <v>139</v>
      </c>
      <c r="D160" s="6" t="s">
        <v>140</v>
      </c>
      <c r="E160" s="6" t="s">
        <v>44</v>
      </c>
      <c r="F160" s="6" t="s">
        <v>31</v>
      </c>
      <c r="G160" s="11">
        <v>2021</v>
      </c>
      <c r="H160" s="9">
        <v>4860931</v>
      </c>
      <c r="I160" s="18">
        <v>215944000</v>
      </c>
      <c r="J160" s="41"/>
      <c r="K160" s="41"/>
      <c r="L160" s="18">
        <v>4206000</v>
      </c>
      <c r="M160" s="18">
        <v>3246000</v>
      </c>
      <c r="N160" s="18">
        <v>24087000</v>
      </c>
      <c r="O160" s="18">
        <v>27342000</v>
      </c>
      <c r="P160" s="41"/>
      <c r="Q160" s="18">
        <v>6325000</v>
      </c>
      <c r="R160" s="41"/>
      <c r="S160" s="41"/>
      <c r="T160" s="18">
        <v>150516000</v>
      </c>
      <c r="U160" s="18">
        <v>-67405000</v>
      </c>
      <c r="V160" s="18">
        <v>67324000</v>
      </c>
      <c r="W160" s="18">
        <v>1835598000</v>
      </c>
      <c r="X160" s="18">
        <v>129454000</v>
      </c>
      <c r="Y160" s="18">
        <f t="shared" si="41"/>
        <v>65206000</v>
      </c>
      <c r="Z160" s="42">
        <f t="shared" si="42"/>
        <v>0.30195791501500391</v>
      </c>
      <c r="AA160" s="6" t="str">
        <f t="shared" si="43"/>
        <v>No</v>
      </c>
      <c r="AB160" s="6" t="str">
        <f t="shared" si="44"/>
        <v>No</v>
      </c>
      <c r="AC160" s="6" t="str">
        <f t="shared" si="45"/>
        <v>No</v>
      </c>
      <c r="AD160" s="6" t="str">
        <f t="shared" si="46"/>
        <v>Yes</v>
      </c>
      <c r="AE160" s="6" t="str">
        <f t="shared" si="47"/>
        <v>No</v>
      </c>
      <c r="AF160" s="6" t="s">
        <v>639</v>
      </c>
      <c r="AG160" s="6" t="str">
        <f t="shared" si="48"/>
        <v>Yes</v>
      </c>
      <c r="AH160" s="6" t="str">
        <f t="shared" si="49"/>
        <v>Clean</v>
      </c>
      <c r="AI160" s="6" t="s">
        <v>602</v>
      </c>
      <c r="AJ160" s="6" t="s">
        <v>32</v>
      </c>
      <c r="AK160" s="6" t="s">
        <v>141</v>
      </c>
    </row>
    <row r="161" spans="1:37" ht="28">
      <c r="A161" s="6" t="str">
        <f t="shared" si="40"/>
        <v>SAN-2022</v>
      </c>
      <c r="B161" s="6" t="s">
        <v>138</v>
      </c>
      <c r="C161" s="6" t="s">
        <v>139</v>
      </c>
      <c r="D161" s="6" t="s">
        <v>140</v>
      </c>
      <c r="E161" s="6" t="s">
        <v>44</v>
      </c>
      <c r="F161" s="6" t="s">
        <v>31</v>
      </c>
      <c r="G161" s="11">
        <v>2022</v>
      </c>
      <c r="H161" s="9">
        <v>9953162</v>
      </c>
      <c r="I161" s="18">
        <v>319254000</v>
      </c>
      <c r="J161" s="41"/>
      <c r="K161" s="41"/>
      <c r="L161" s="18">
        <v>20463000</v>
      </c>
      <c r="M161" s="18">
        <v>10435000</v>
      </c>
      <c r="N161" s="18">
        <v>43511000</v>
      </c>
      <c r="O161" s="18">
        <v>56838000</v>
      </c>
      <c r="P161" s="41"/>
      <c r="Q161" s="18">
        <v>15568000</v>
      </c>
      <c r="R161" s="41"/>
      <c r="S161" s="41"/>
      <c r="T161" s="18">
        <v>149314000</v>
      </c>
      <c r="U161" s="18">
        <v>28021000</v>
      </c>
      <c r="V161" s="18">
        <v>374248000</v>
      </c>
      <c r="W161" s="18">
        <v>3667844000</v>
      </c>
      <c r="X161" s="18">
        <v>143390000</v>
      </c>
      <c r="Y161" s="18">
        <f t="shared" si="41"/>
        <v>146815000</v>
      </c>
      <c r="Z161" s="42">
        <f t="shared" si="42"/>
        <v>0.45986894447681159</v>
      </c>
      <c r="AA161" s="6" t="str">
        <f t="shared" si="43"/>
        <v>No</v>
      </c>
      <c r="AB161" s="6" t="str">
        <f t="shared" si="44"/>
        <v>No</v>
      </c>
      <c r="AC161" s="6" t="str">
        <f t="shared" si="45"/>
        <v>No</v>
      </c>
      <c r="AD161" s="6" t="str">
        <f t="shared" si="46"/>
        <v>No</v>
      </c>
      <c r="AE161" s="6" t="str">
        <f t="shared" si="47"/>
        <v>No</v>
      </c>
      <c r="AF161" s="6" t="s">
        <v>639</v>
      </c>
      <c r="AG161" s="6" t="str">
        <f t="shared" si="48"/>
        <v>Yes</v>
      </c>
      <c r="AH161" s="6" t="str">
        <f t="shared" si="49"/>
        <v>Clean</v>
      </c>
      <c r="AI161" s="6" t="s">
        <v>602</v>
      </c>
      <c r="AJ161" s="6" t="s">
        <v>32</v>
      </c>
      <c r="AK161" s="6" t="s">
        <v>141</v>
      </c>
    </row>
    <row r="162" spans="1:37" ht="28">
      <c r="A162" s="6" t="str">
        <f t="shared" ref="A162:A193" si="50">B162&amp;"-"&amp;G162</f>
        <v>SAN-2023</v>
      </c>
      <c r="B162" s="6" t="s">
        <v>138</v>
      </c>
      <c r="C162" s="6" t="s">
        <v>139</v>
      </c>
      <c r="D162" s="6" t="s">
        <v>140</v>
      </c>
      <c r="E162" s="6" t="s">
        <v>44</v>
      </c>
      <c r="F162" s="6" t="s">
        <v>31</v>
      </c>
      <c r="G162" s="11">
        <v>2023</v>
      </c>
      <c r="H162" s="9">
        <v>11867569</v>
      </c>
      <c r="I162" s="18">
        <v>360762000</v>
      </c>
      <c r="J162" s="41"/>
      <c r="K162" s="41"/>
      <c r="L162" s="18">
        <v>6844000</v>
      </c>
      <c r="M162" s="18">
        <v>7552000</v>
      </c>
      <c r="N162" s="18">
        <v>45609000</v>
      </c>
      <c r="O162" s="18">
        <v>65148000</v>
      </c>
      <c r="P162" s="41"/>
      <c r="Q162" s="18">
        <v>12959000</v>
      </c>
      <c r="R162" s="41"/>
      <c r="S162" s="41"/>
      <c r="T162" s="18">
        <v>174339000</v>
      </c>
      <c r="U162" s="18">
        <v>54837000</v>
      </c>
      <c r="V162" s="18">
        <v>645444000</v>
      </c>
      <c r="W162" s="18">
        <v>3876479000</v>
      </c>
      <c r="X162" s="18">
        <v>188309000</v>
      </c>
      <c r="Y162" s="18">
        <f t="shared" ref="Y162:Y187" si="51">SUM(L162:S162)</f>
        <v>138112000</v>
      </c>
      <c r="Z162" s="42">
        <f t="shared" ref="Z162:Z193" si="52">IFERROR(Y162/I162,0)</f>
        <v>0.3828341122402027</v>
      </c>
      <c r="AA162" s="6" t="str">
        <f t="shared" ref="AA162:AA187" si="53">IF(OR(H162="",I162="",T162="",U162=""),"Yes","No")</f>
        <v>No</v>
      </c>
      <c r="AB162" s="6" t="str">
        <f t="shared" ref="AB162:AB187" si="54">IF(OR(AND(L162&lt;&gt;"",L162=0),AND(M162&lt;&gt;"",M162=0),AND(N162&lt;&gt;"",N162=0),AND(O162&lt;&gt;"",O162=0),AND(Q162&lt;&gt;"",Q162=0)),"Yes","No")</f>
        <v>No</v>
      </c>
      <c r="AC162" s="6" t="str">
        <f t="shared" ref="AC162:AC187" si="55">IF(MIN(L162:O162,Q162)&lt;0,"Yes","No")</f>
        <v>No</v>
      </c>
      <c r="AD162" s="6" t="str">
        <f t="shared" ref="AD162:AD187" si="56">IF(U162&lt;0,"Yes","No")</f>
        <v>No</v>
      </c>
      <c r="AE162" s="6" t="str">
        <f t="shared" ref="AE162:AE187" si="57">IF(COUNTIFS($B$2:$B$187,B162,$G$2:$G$187,G162)&gt;1,"Yes","No")</f>
        <v>No</v>
      </c>
      <c r="AF162" s="6" t="s">
        <v>639</v>
      </c>
      <c r="AG162" s="6" t="str">
        <f t="shared" ref="AG162:AG187" si="58">IF(OR(J162="",K162="",P162="",R162="",S162=""),"Yes","No")</f>
        <v>Yes</v>
      </c>
      <c r="AH162" s="6" t="str">
        <f t="shared" ref="AH162:AH187" si="59">IF(OR(AA162="Yes",AE162="Yes"),"Review - Core/Duplicate",IF(OR(AB162="Yes",AC162="Yes"),"Clean - Flagged","Clean"))</f>
        <v>Clean</v>
      </c>
      <c r="AI162" s="6" t="s">
        <v>602</v>
      </c>
      <c r="AJ162" s="6" t="s">
        <v>32</v>
      </c>
      <c r="AK162" s="6" t="s">
        <v>141</v>
      </c>
    </row>
    <row r="163" spans="1:37" ht="28">
      <c r="A163" s="6" t="str">
        <f t="shared" si="50"/>
        <v>SAN-2024</v>
      </c>
      <c r="B163" s="6" t="s">
        <v>138</v>
      </c>
      <c r="C163" s="6" t="s">
        <v>139</v>
      </c>
      <c r="D163" s="6" t="s">
        <v>140</v>
      </c>
      <c r="E163" s="6" t="s">
        <v>44</v>
      </c>
      <c r="F163" s="6" t="s">
        <v>31</v>
      </c>
      <c r="G163" s="11">
        <v>2024</v>
      </c>
      <c r="H163" s="9">
        <v>12467114</v>
      </c>
      <c r="I163" s="18">
        <v>399889000</v>
      </c>
      <c r="J163" s="41"/>
      <c r="K163" s="41"/>
      <c r="L163" s="18">
        <v>10816000</v>
      </c>
      <c r="M163" s="18">
        <v>7649000</v>
      </c>
      <c r="N163" s="18">
        <v>44384000</v>
      </c>
      <c r="O163" s="18">
        <v>72184000</v>
      </c>
      <c r="P163" s="41"/>
      <c r="Q163" s="18">
        <v>13271000</v>
      </c>
      <c r="R163" s="41"/>
      <c r="S163" s="41"/>
      <c r="T163" s="18">
        <v>192288000</v>
      </c>
      <c r="U163" s="18">
        <v>85426000</v>
      </c>
      <c r="V163" s="18">
        <v>992162000</v>
      </c>
      <c r="W163" s="18">
        <v>4539393000</v>
      </c>
      <c r="X163" s="18">
        <v>216363000</v>
      </c>
      <c r="Y163" s="18">
        <f t="shared" si="51"/>
        <v>148304000</v>
      </c>
      <c r="Z163" s="42">
        <f t="shared" si="52"/>
        <v>0.37086291445876229</v>
      </c>
      <c r="AA163" s="6" t="str">
        <f t="shared" si="53"/>
        <v>No</v>
      </c>
      <c r="AB163" s="6" t="str">
        <f t="shared" si="54"/>
        <v>No</v>
      </c>
      <c r="AC163" s="6" t="str">
        <f t="shared" si="55"/>
        <v>No</v>
      </c>
      <c r="AD163" s="6" t="str">
        <f t="shared" si="56"/>
        <v>No</v>
      </c>
      <c r="AE163" s="6" t="str">
        <f t="shared" si="57"/>
        <v>No</v>
      </c>
      <c r="AF163" s="6" t="s">
        <v>639</v>
      </c>
      <c r="AG163" s="6" t="str">
        <f t="shared" si="58"/>
        <v>Yes</v>
      </c>
      <c r="AH163" s="6" t="str">
        <f t="shared" si="59"/>
        <v>Clean</v>
      </c>
      <c r="AI163" s="6" t="s">
        <v>602</v>
      </c>
      <c r="AJ163" s="6" t="s">
        <v>32</v>
      </c>
      <c r="AK163" s="6" t="s">
        <v>141</v>
      </c>
    </row>
    <row r="164" spans="1:37" ht="28">
      <c r="A164" s="6" t="str">
        <f t="shared" si="50"/>
        <v>SEA-2019</v>
      </c>
      <c r="B164" s="6" t="s">
        <v>46</v>
      </c>
      <c r="C164" s="6" t="s">
        <v>47</v>
      </c>
      <c r="D164" s="6" t="s">
        <v>48</v>
      </c>
      <c r="E164" s="6" t="s">
        <v>49</v>
      </c>
      <c r="F164" s="6" t="s">
        <v>31</v>
      </c>
      <c r="G164" s="11">
        <v>2019</v>
      </c>
      <c r="H164" s="9">
        <v>25873875</v>
      </c>
      <c r="I164" s="18">
        <v>626636000</v>
      </c>
      <c r="J164" s="41"/>
      <c r="K164" s="41"/>
      <c r="L164" s="18">
        <v>26314000</v>
      </c>
      <c r="M164" s="18">
        <v>22502000</v>
      </c>
      <c r="N164" s="18">
        <v>36793000</v>
      </c>
      <c r="O164" s="18">
        <v>113327000</v>
      </c>
      <c r="P164" s="41"/>
      <c r="Q164" s="18">
        <v>30744000</v>
      </c>
      <c r="R164" s="41"/>
      <c r="S164" s="41"/>
      <c r="T164" s="18">
        <v>356635000</v>
      </c>
      <c r="U164" s="18">
        <v>133767000</v>
      </c>
      <c r="V164" s="18">
        <v>573598000</v>
      </c>
      <c r="W164" s="18">
        <v>3430403000</v>
      </c>
      <c r="X164" s="18">
        <v>332882000</v>
      </c>
      <c r="Y164" s="18">
        <f t="shared" si="51"/>
        <v>229680000</v>
      </c>
      <c r="Z164" s="42">
        <f t="shared" si="52"/>
        <v>0.36652857480259671</v>
      </c>
      <c r="AA164" s="6" t="str">
        <f t="shared" si="53"/>
        <v>No</v>
      </c>
      <c r="AB164" s="6" t="str">
        <f t="shared" si="54"/>
        <v>No</v>
      </c>
      <c r="AC164" s="6" t="str">
        <f t="shared" si="55"/>
        <v>No</v>
      </c>
      <c r="AD164" s="6" t="str">
        <f t="shared" si="56"/>
        <v>No</v>
      </c>
      <c r="AE164" s="6" t="str">
        <f t="shared" si="57"/>
        <v>No</v>
      </c>
      <c r="AF164" s="6" t="s">
        <v>639</v>
      </c>
      <c r="AG164" s="6" t="str">
        <f t="shared" si="58"/>
        <v>Yes</v>
      </c>
      <c r="AH164" s="6" t="str">
        <f t="shared" si="59"/>
        <v>Clean</v>
      </c>
      <c r="AI164" s="6" t="s">
        <v>602</v>
      </c>
      <c r="AJ164" s="6" t="s">
        <v>32</v>
      </c>
      <c r="AK164" s="6" t="s">
        <v>50</v>
      </c>
    </row>
    <row r="165" spans="1:37" ht="28">
      <c r="A165" s="6" t="str">
        <f t="shared" si="50"/>
        <v>SEA-2020</v>
      </c>
      <c r="B165" s="6" t="s">
        <v>46</v>
      </c>
      <c r="C165" s="6" t="s">
        <v>47</v>
      </c>
      <c r="D165" s="6" t="s">
        <v>48</v>
      </c>
      <c r="E165" s="6" t="s">
        <v>49</v>
      </c>
      <c r="F165" s="6" t="s">
        <v>31</v>
      </c>
      <c r="G165" s="11">
        <v>2020</v>
      </c>
      <c r="H165" s="9">
        <v>10043727</v>
      </c>
      <c r="I165" s="18">
        <v>405766000</v>
      </c>
      <c r="J165" s="41"/>
      <c r="K165" s="41"/>
      <c r="L165" s="18">
        <v>9709000</v>
      </c>
      <c r="M165" s="18">
        <v>8169000</v>
      </c>
      <c r="N165" s="18">
        <v>16637000</v>
      </c>
      <c r="O165" s="18">
        <v>49907000</v>
      </c>
      <c r="P165" s="41"/>
      <c r="Q165" s="18">
        <v>15652000</v>
      </c>
      <c r="R165" s="41"/>
      <c r="S165" s="41"/>
      <c r="T165" s="18">
        <v>329680000</v>
      </c>
      <c r="U165" s="18">
        <v>-66325000</v>
      </c>
      <c r="V165" s="18">
        <v>504006000</v>
      </c>
      <c r="W165" s="18">
        <v>3279019000</v>
      </c>
      <c r="X165" s="18">
        <v>256305000</v>
      </c>
      <c r="Y165" s="18">
        <f t="shared" si="51"/>
        <v>100074000</v>
      </c>
      <c r="Z165" s="42">
        <f t="shared" si="52"/>
        <v>0.24662983098633201</v>
      </c>
      <c r="AA165" s="6" t="str">
        <f t="shared" si="53"/>
        <v>No</v>
      </c>
      <c r="AB165" s="6" t="str">
        <f t="shared" si="54"/>
        <v>No</v>
      </c>
      <c r="AC165" s="6" t="str">
        <f t="shared" si="55"/>
        <v>No</v>
      </c>
      <c r="AD165" s="6" t="str">
        <f t="shared" si="56"/>
        <v>Yes</v>
      </c>
      <c r="AE165" s="6" t="str">
        <f t="shared" si="57"/>
        <v>No</v>
      </c>
      <c r="AF165" s="6" t="s">
        <v>639</v>
      </c>
      <c r="AG165" s="6" t="str">
        <f t="shared" si="58"/>
        <v>Yes</v>
      </c>
      <c r="AH165" s="6" t="str">
        <f t="shared" si="59"/>
        <v>Clean</v>
      </c>
      <c r="AI165" s="6" t="s">
        <v>602</v>
      </c>
      <c r="AJ165" s="6" t="s">
        <v>32</v>
      </c>
      <c r="AK165" s="6" t="s">
        <v>50</v>
      </c>
    </row>
    <row r="166" spans="1:37" ht="28">
      <c r="A166" s="6" t="str">
        <f t="shared" si="50"/>
        <v>SEA-2021</v>
      </c>
      <c r="B166" s="6" t="s">
        <v>46</v>
      </c>
      <c r="C166" s="6" t="s">
        <v>47</v>
      </c>
      <c r="D166" s="6" t="s">
        <v>48</v>
      </c>
      <c r="E166" s="6" t="s">
        <v>49</v>
      </c>
      <c r="F166" s="6" t="s">
        <v>31</v>
      </c>
      <c r="G166" s="11">
        <v>2021</v>
      </c>
      <c r="H166" s="9">
        <v>18072926</v>
      </c>
      <c r="I166" s="18">
        <v>501332000</v>
      </c>
      <c r="J166" s="41"/>
      <c r="K166" s="41"/>
      <c r="L166" s="18">
        <v>16979000</v>
      </c>
      <c r="M166" s="18">
        <v>12412000</v>
      </c>
      <c r="N166" s="18">
        <v>34740000</v>
      </c>
      <c r="O166" s="18">
        <v>85057000</v>
      </c>
      <c r="P166" s="41"/>
      <c r="Q166" s="18">
        <v>16649000</v>
      </c>
      <c r="R166" s="41"/>
      <c r="S166" s="41"/>
      <c r="T166" s="18">
        <v>294217000</v>
      </c>
      <c r="U166" s="18">
        <v>54272000</v>
      </c>
      <c r="V166" s="18">
        <v>389039000</v>
      </c>
      <c r="W166" s="18">
        <v>3581677000</v>
      </c>
      <c r="X166" s="18">
        <v>287872000</v>
      </c>
      <c r="Y166" s="18">
        <f t="shared" si="51"/>
        <v>165837000</v>
      </c>
      <c r="Z166" s="42">
        <f t="shared" si="52"/>
        <v>0.33079276806587249</v>
      </c>
      <c r="AA166" s="6" t="str">
        <f t="shared" si="53"/>
        <v>No</v>
      </c>
      <c r="AB166" s="6" t="str">
        <f t="shared" si="54"/>
        <v>No</v>
      </c>
      <c r="AC166" s="6" t="str">
        <f t="shared" si="55"/>
        <v>No</v>
      </c>
      <c r="AD166" s="6" t="str">
        <f t="shared" si="56"/>
        <v>No</v>
      </c>
      <c r="AE166" s="6" t="str">
        <f t="shared" si="57"/>
        <v>No</v>
      </c>
      <c r="AF166" s="6" t="s">
        <v>639</v>
      </c>
      <c r="AG166" s="6" t="str">
        <f t="shared" si="58"/>
        <v>Yes</v>
      </c>
      <c r="AH166" s="6" t="str">
        <f t="shared" si="59"/>
        <v>Clean</v>
      </c>
      <c r="AI166" s="6" t="s">
        <v>602</v>
      </c>
      <c r="AJ166" s="6" t="s">
        <v>32</v>
      </c>
      <c r="AK166" s="6" t="s">
        <v>50</v>
      </c>
    </row>
    <row r="167" spans="1:37" ht="28">
      <c r="A167" s="6" t="str">
        <f t="shared" si="50"/>
        <v>SEA-2022</v>
      </c>
      <c r="B167" s="6" t="s">
        <v>46</v>
      </c>
      <c r="C167" s="6" t="s">
        <v>47</v>
      </c>
      <c r="D167" s="6" t="s">
        <v>48</v>
      </c>
      <c r="E167" s="6" t="s">
        <v>49</v>
      </c>
      <c r="F167" s="6" t="s">
        <v>31</v>
      </c>
      <c r="G167" s="11">
        <v>2022</v>
      </c>
      <c r="H167" s="9">
        <v>22966119</v>
      </c>
      <c r="I167" s="18">
        <v>652373000</v>
      </c>
      <c r="J167" s="41"/>
      <c r="K167" s="41"/>
      <c r="L167" s="18">
        <v>17646000</v>
      </c>
      <c r="M167" s="18">
        <v>11228000</v>
      </c>
      <c r="N167" s="18">
        <v>42330000</v>
      </c>
      <c r="O167" s="18">
        <v>120348000</v>
      </c>
      <c r="P167" s="41"/>
      <c r="Q167" s="18">
        <v>23646000</v>
      </c>
      <c r="R167" s="41"/>
      <c r="S167" s="41"/>
      <c r="T167" s="18">
        <v>382664000</v>
      </c>
      <c r="U167" s="18">
        <v>75363000</v>
      </c>
      <c r="V167" s="18">
        <v>311049000</v>
      </c>
      <c r="W167" s="18">
        <v>3955608000</v>
      </c>
      <c r="X167" s="18">
        <v>369450000</v>
      </c>
      <c r="Y167" s="18">
        <f t="shared" si="51"/>
        <v>215198000</v>
      </c>
      <c r="Z167" s="42">
        <f t="shared" si="52"/>
        <v>0.32986956848306109</v>
      </c>
      <c r="AA167" s="6" t="str">
        <f t="shared" si="53"/>
        <v>No</v>
      </c>
      <c r="AB167" s="6" t="str">
        <f t="shared" si="54"/>
        <v>No</v>
      </c>
      <c r="AC167" s="6" t="str">
        <f t="shared" si="55"/>
        <v>No</v>
      </c>
      <c r="AD167" s="6" t="str">
        <f t="shared" si="56"/>
        <v>No</v>
      </c>
      <c r="AE167" s="6" t="str">
        <f t="shared" si="57"/>
        <v>No</v>
      </c>
      <c r="AF167" s="6" t="s">
        <v>639</v>
      </c>
      <c r="AG167" s="6" t="str">
        <f t="shared" si="58"/>
        <v>Yes</v>
      </c>
      <c r="AH167" s="6" t="str">
        <f t="shared" si="59"/>
        <v>Clean</v>
      </c>
      <c r="AI167" s="6" t="s">
        <v>602</v>
      </c>
      <c r="AJ167" s="6" t="s">
        <v>32</v>
      </c>
      <c r="AK167" s="6" t="s">
        <v>50</v>
      </c>
    </row>
    <row r="168" spans="1:37" ht="28">
      <c r="A168" s="6" t="str">
        <f t="shared" si="50"/>
        <v>SEA-2023</v>
      </c>
      <c r="B168" s="6" t="s">
        <v>46</v>
      </c>
      <c r="C168" s="6" t="s">
        <v>47</v>
      </c>
      <c r="D168" s="6" t="s">
        <v>48</v>
      </c>
      <c r="E168" s="6" t="s">
        <v>49</v>
      </c>
      <c r="F168" s="6" t="s">
        <v>31</v>
      </c>
      <c r="G168" s="11">
        <v>2023</v>
      </c>
      <c r="H168" s="9">
        <v>25371436</v>
      </c>
      <c r="I168" s="18">
        <v>798449000</v>
      </c>
      <c r="J168" s="41"/>
      <c r="K168" s="41"/>
      <c r="L168" s="18">
        <v>31827000</v>
      </c>
      <c r="M168" s="18">
        <v>20804000</v>
      </c>
      <c r="N168" s="18">
        <v>46506000</v>
      </c>
      <c r="O168" s="18">
        <v>146442000</v>
      </c>
      <c r="P168" s="41"/>
      <c r="Q168" s="18">
        <v>34857000</v>
      </c>
      <c r="R168" s="41"/>
      <c r="S168" s="41"/>
      <c r="T168" s="18">
        <v>445715000</v>
      </c>
      <c r="U168" s="18">
        <v>138135000</v>
      </c>
      <c r="V168" s="18">
        <v>445121000</v>
      </c>
      <c r="W168" s="18">
        <v>3776138000</v>
      </c>
      <c r="X168" s="18">
        <v>444727000</v>
      </c>
      <c r="Y168" s="18">
        <f t="shared" si="51"/>
        <v>280436000</v>
      </c>
      <c r="Z168" s="42">
        <f t="shared" si="52"/>
        <v>0.35122593928979812</v>
      </c>
      <c r="AA168" s="6" t="str">
        <f t="shared" si="53"/>
        <v>No</v>
      </c>
      <c r="AB168" s="6" t="str">
        <f t="shared" si="54"/>
        <v>No</v>
      </c>
      <c r="AC168" s="6" t="str">
        <f t="shared" si="55"/>
        <v>No</v>
      </c>
      <c r="AD168" s="6" t="str">
        <f t="shared" si="56"/>
        <v>No</v>
      </c>
      <c r="AE168" s="6" t="str">
        <f t="shared" si="57"/>
        <v>No</v>
      </c>
      <c r="AF168" s="6" t="s">
        <v>639</v>
      </c>
      <c r="AG168" s="6" t="str">
        <f t="shared" si="58"/>
        <v>Yes</v>
      </c>
      <c r="AH168" s="6" t="str">
        <f t="shared" si="59"/>
        <v>Clean</v>
      </c>
      <c r="AI168" s="6" t="s">
        <v>602</v>
      </c>
      <c r="AJ168" s="6" t="s">
        <v>32</v>
      </c>
      <c r="AK168" s="6" t="s">
        <v>50</v>
      </c>
    </row>
    <row r="169" spans="1:37" ht="28">
      <c r="A169" s="6" t="str">
        <f t="shared" si="50"/>
        <v>SEA-2024</v>
      </c>
      <c r="B169" s="6" t="s">
        <v>46</v>
      </c>
      <c r="C169" s="6" t="s">
        <v>47</v>
      </c>
      <c r="D169" s="6" t="s">
        <v>48</v>
      </c>
      <c r="E169" s="6" t="s">
        <v>49</v>
      </c>
      <c r="F169" s="6" t="s">
        <v>31</v>
      </c>
      <c r="G169" s="11">
        <v>2024</v>
      </c>
      <c r="H169" s="9">
        <v>26264885</v>
      </c>
      <c r="I169" s="18">
        <v>861301000</v>
      </c>
      <c r="J169" s="41"/>
      <c r="K169" s="41"/>
      <c r="L169" s="18">
        <v>34238000</v>
      </c>
      <c r="M169" s="18">
        <v>23418000</v>
      </c>
      <c r="N169" s="18">
        <v>45399000</v>
      </c>
      <c r="O169" s="18">
        <v>151034000</v>
      </c>
      <c r="P169" s="41"/>
      <c r="Q169" s="18">
        <v>41567000</v>
      </c>
      <c r="R169" s="41"/>
      <c r="S169" s="41"/>
      <c r="T169" s="18">
        <v>529828000</v>
      </c>
      <c r="U169" s="18">
        <v>93208000</v>
      </c>
      <c r="V169" s="18">
        <v>684065000</v>
      </c>
      <c r="W169" s="18">
        <v>4131470000</v>
      </c>
      <c r="X169" s="18">
        <v>479126000</v>
      </c>
      <c r="Y169" s="18">
        <f t="shared" si="51"/>
        <v>295656000</v>
      </c>
      <c r="Z169" s="42">
        <f t="shared" si="52"/>
        <v>0.34326675575669829</v>
      </c>
      <c r="AA169" s="6" t="str">
        <f t="shared" si="53"/>
        <v>No</v>
      </c>
      <c r="AB169" s="6" t="str">
        <f t="shared" si="54"/>
        <v>No</v>
      </c>
      <c r="AC169" s="6" t="str">
        <f t="shared" si="55"/>
        <v>No</v>
      </c>
      <c r="AD169" s="6" t="str">
        <f t="shared" si="56"/>
        <v>No</v>
      </c>
      <c r="AE169" s="6" t="str">
        <f t="shared" si="57"/>
        <v>No</v>
      </c>
      <c r="AF169" s="6" t="s">
        <v>639</v>
      </c>
      <c r="AG169" s="6" t="str">
        <f t="shared" si="58"/>
        <v>Yes</v>
      </c>
      <c r="AH169" s="6" t="str">
        <f t="shared" si="59"/>
        <v>Clean</v>
      </c>
      <c r="AI169" s="6" t="s">
        <v>602</v>
      </c>
      <c r="AJ169" s="6" t="s">
        <v>32</v>
      </c>
      <c r="AK169" s="6" t="s">
        <v>50</v>
      </c>
    </row>
    <row r="170" spans="1:37" ht="28">
      <c r="A170" s="6" t="str">
        <f t="shared" si="50"/>
        <v>SFO-2019</v>
      </c>
      <c r="B170" s="6" t="s">
        <v>84</v>
      </c>
      <c r="C170" s="6" t="s">
        <v>85</v>
      </c>
      <c r="D170" s="6" t="s">
        <v>86</v>
      </c>
      <c r="E170" s="6" t="s">
        <v>44</v>
      </c>
      <c r="F170" s="6" t="s">
        <v>31</v>
      </c>
      <c r="G170" s="11">
        <v>2019</v>
      </c>
      <c r="H170" s="9">
        <v>28620387</v>
      </c>
      <c r="I170" s="18">
        <v>980444000</v>
      </c>
      <c r="J170" s="41"/>
      <c r="K170" s="41"/>
      <c r="L170" s="18">
        <v>31372000</v>
      </c>
      <c r="M170" s="18">
        <v>53208000</v>
      </c>
      <c r="N170" s="18">
        <v>69082000</v>
      </c>
      <c r="O170" s="18">
        <v>165311000</v>
      </c>
      <c r="P170" s="41"/>
      <c r="Q170" s="18">
        <v>31481000</v>
      </c>
      <c r="R170" s="41"/>
      <c r="S170" s="41"/>
      <c r="T170" s="18">
        <v>495223000</v>
      </c>
      <c r="U170" s="18">
        <v>216432000</v>
      </c>
      <c r="V170" s="18">
        <v>1390256000</v>
      </c>
      <c r="W170" s="18">
        <v>7304400000</v>
      </c>
      <c r="X170" s="18">
        <v>488891000</v>
      </c>
      <c r="Y170" s="18">
        <f t="shared" si="51"/>
        <v>350454000</v>
      </c>
      <c r="Z170" s="42">
        <f t="shared" si="52"/>
        <v>0.35744417835184877</v>
      </c>
      <c r="AA170" s="6" t="str">
        <f t="shared" si="53"/>
        <v>No</v>
      </c>
      <c r="AB170" s="6" t="str">
        <f t="shared" si="54"/>
        <v>No</v>
      </c>
      <c r="AC170" s="6" t="str">
        <f t="shared" si="55"/>
        <v>No</v>
      </c>
      <c r="AD170" s="6" t="str">
        <f t="shared" si="56"/>
        <v>No</v>
      </c>
      <c r="AE170" s="6" t="str">
        <f t="shared" si="57"/>
        <v>No</v>
      </c>
      <c r="AF170" s="6" t="s">
        <v>639</v>
      </c>
      <c r="AG170" s="6" t="str">
        <f t="shared" si="58"/>
        <v>Yes</v>
      </c>
      <c r="AH170" s="6" t="str">
        <f t="shared" si="59"/>
        <v>Clean</v>
      </c>
      <c r="AI170" s="6" t="s">
        <v>602</v>
      </c>
      <c r="AJ170" s="6" t="s">
        <v>32</v>
      </c>
      <c r="AK170" s="6" t="s">
        <v>87</v>
      </c>
    </row>
    <row r="171" spans="1:37" ht="28">
      <c r="A171" s="6" t="str">
        <f t="shared" si="50"/>
        <v>SFO-2020</v>
      </c>
      <c r="B171" s="6" t="s">
        <v>84</v>
      </c>
      <c r="C171" s="6" t="s">
        <v>85</v>
      </c>
      <c r="D171" s="6" t="s">
        <v>86</v>
      </c>
      <c r="E171" s="6" t="s">
        <v>44</v>
      </c>
      <c r="F171" s="6" t="s">
        <v>31</v>
      </c>
      <c r="G171" s="11">
        <v>2020</v>
      </c>
      <c r="H171" s="9">
        <v>20215547</v>
      </c>
      <c r="I171" s="18">
        <v>943879000</v>
      </c>
      <c r="J171" s="41"/>
      <c r="K171" s="41"/>
      <c r="L171" s="18">
        <v>26911000</v>
      </c>
      <c r="M171" s="18">
        <v>35857000</v>
      </c>
      <c r="N171" s="18">
        <v>57453000</v>
      </c>
      <c r="O171" s="18">
        <v>112513000</v>
      </c>
      <c r="P171" s="41"/>
      <c r="Q171" s="18">
        <v>33394000</v>
      </c>
      <c r="R171" s="41"/>
      <c r="S171" s="41"/>
      <c r="T171" s="18">
        <v>618954000</v>
      </c>
      <c r="U171" s="18">
        <v>12807000</v>
      </c>
      <c r="V171" s="18">
        <v>856213000</v>
      </c>
      <c r="W171" s="18">
        <v>7954375000</v>
      </c>
      <c r="X171" s="18">
        <v>533934000</v>
      </c>
      <c r="Y171" s="18">
        <f t="shared" si="51"/>
        <v>266128000</v>
      </c>
      <c r="Z171" s="42">
        <f t="shared" si="52"/>
        <v>0.28195139419353538</v>
      </c>
      <c r="AA171" s="6" t="str">
        <f t="shared" si="53"/>
        <v>No</v>
      </c>
      <c r="AB171" s="6" t="str">
        <f t="shared" si="54"/>
        <v>No</v>
      </c>
      <c r="AC171" s="6" t="str">
        <f t="shared" si="55"/>
        <v>No</v>
      </c>
      <c r="AD171" s="6" t="str">
        <f t="shared" si="56"/>
        <v>No</v>
      </c>
      <c r="AE171" s="6" t="str">
        <f t="shared" si="57"/>
        <v>No</v>
      </c>
      <c r="AF171" s="6" t="s">
        <v>639</v>
      </c>
      <c r="AG171" s="6" t="str">
        <f t="shared" si="58"/>
        <v>Yes</v>
      </c>
      <c r="AH171" s="6" t="str">
        <f t="shared" si="59"/>
        <v>Clean</v>
      </c>
      <c r="AI171" s="6" t="s">
        <v>602</v>
      </c>
      <c r="AJ171" s="6" t="s">
        <v>32</v>
      </c>
      <c r="AK171" s="6" t="s">
        <v>87</v>
      </c>
    </row>
    <row r="172" spans="1:37" ht="28">
      <c r="A172" s="6" t="str">
        <f t="shared" si="50"/>
        <v>SFO-2021</v>
      </c>
      <c r="B172" s="6" t="s">
        <v>84</v>
      </c>
      <c r="C172" s="6" t="s">
        <v>85</v>
      </c>
      <c r="D172" s="6" t="s">
        <v>86</v>
      </c>
      <c r="E172" s="6" t="s">
        <v>44</v>
      </c>
      <c r="F172" s="6" t="s">
        <v>31</v>
      </c>
      <c r="G172" s="11">
        <v>2021</v>
      </c>
      <c r="H172" s="9">
        <v>6924578</v>
      </c>
      <c r="I172" s="18">
        <v>515416000</v>
      </c>
      <c r="J172" s="41"/>
      <c r="K172" s="41"/>
      <c r="L172" s="18">
        <v>14446000</v>
      </c>
      <c r="M172" s="18">
        <v>6724000</v>
      </c>
      <c r="N172" s="18">
        <v>37923000</v>
      </c>
      <c r="O172" s="18">
        <v>44727000</v>
      </c>
      <c r="P172" s="41"/>
      <c r="Q172" s="18">
        <v>25588000</v>
      </c>
      <c r="R172" s="41"/>
      <c r="S172" s="41"/>
      <c r="T172" s="18">
        <v>583250000</v>
      </c>
      <c r="U172" s="18">
        <v>-398969000</v>
      </c>
      <c r="V172" s="18">
        <v>606389000</v>
      </c>
      <c r="W172" s="18">
        <v>8156410000</v>
      </c>
      <c r="X172" s="18">
        <v>261873000</v>
      </c>
      <c r="Y172" s="18">
        <f t="shared" si="51"/>
        <v>129408000</v>
      </c>
      <c r="Z172" s="42">
        <f t="shared" si="52"/>
        <v>0.25107485991897804</v>
      </c>
      <c r="AA172" s="6" t="str">
        <f t="shared" si="53"/>
        <v>No</v>
      </c>
      <c r="AB172" s="6" t="str">
        <f t="shared" si="54"/>
        <v>No</v>
      </c>
      <c r="AC172" s="6" t="str">
        <f t="shared" si="55"/>
        <v>No</v>
      </c>
      <c r="AD172" s="6" t="str">
        <f t="shared" si="56"/>
        <v>Yes</v>
      </c>
      <c r="AE172" s="6" t="str">
        <f t="shared" si="57"/>
        <v>No</v>
      </c>
      <c r="AF172" s="6" t="s">
        <v>639</v>
      </c>
      <c r="AG172" s="6" t="str">
        <f t="shared" si="58"/>
        <v>Yes</v>
      </c>
      <c r="AH172" s="6" t="str">
        <f t="shared" si="59"/>
        <v>Clean</v>
      </c>
      <c r="AI172" s="6" t="s">
        <v>602</v>
      </c>
      <c r="AJ172" s="6" t="s">
        <v>32</v>
      </c>
      <c r="AK172" s="6" t="s">
        <v>87</v>
      </c>
    </row>
    <row r="173" spans="1:37" ht="28">
      <c r="A173" s="6" t="str">
        <f t="shared" si="50"/>
        <v>SFO-2022</v>
      </c>
      <c r="B173" s="6" t="s">
        <v>84</v>
      </c>
      <c r="C173" s="6" t="s">
        <v>85</v>
      </c>
      <c r="D173" s="6" t="s">
        <v>86</v>
      </c>
      <c r="E173" s="6" t="s">
        <v>44</v>
      </c>
      <c r="F173" s="6" t="s">
        <v>31</v>
      </c>
      <c r="G173" s="11">
        <v>2022</v>
      </c>
      <c r="H173" s="9">
        <v>17396249</v>
      </c>
      <c r="I173" s="18">
        <v>821253000</v>
      </c>
      <c r="J173" s="41"/>
      <c r="K173" s="41"/>
      <c r="L173" s="18">
        <v>25610000</v>
      </c>
      <c r="M173" s="18">
        <v>22795000</v>
      </c>
      <c r="N173" s="18">
        <v>63442000</v>
      </c>
      <c r="O173" s="18">
        <v>132091000</v>
      </c>
      <c r="P173" s="41"/>
      <c r="Q173" s="18">
        <v>26521000</v>
      </c>
      <c r="R173" s="41"/>
      <c r="S173" s="41"/>
      <c r="T173" s="18">
        <v>453454000</v>
      </c>
      <c r="U173" s="18">
        <v>11423000</v>
      </c>
      <c r="V173" s="18">
        <v>263790000</v>
      </c>
      <c r="W173" s="18">
        <v>8185250000</v>
      </c>
      <c r="X173" s="18">
        <v>381529000</v>
      </c>
      <c r="Y173" s="18">
        <f t="shared" si="51"/>
        <v>270459000</v>
      </c>
      <c r="Z173" s="42">
        <f t="shared" si="52"/>
        <v>0.32932482438420319</v>
      </c>
      <c r="AA173" s="6" t="str">
        <f t="shared" si="53"/>
        <v>No</v>
      </c>
      <c r="AB173" s="6" t="str">
        <f t="shared" si="54"/>
        <v>No</v>
      </c>
      <c r="AC173" s="6" t="str">
        <f t="shared" si="55"/>
        <v>No</v>
      </c>
      <c r="AD173" s="6" t="str">
        <f t="shared" si="56"/>
        <v>No</v>
      </c>
      <c r="AE173" s="6" t="str">
        <f t="shared" si="57"/>
        <v>No</v>
      </c>
      <c r="AF173" s="6" t="s">
        <v>639</v>
      </c>
      <c r="AG173" s="6" t="str">
        <f t="shared" si="58"/>
        <v>Yes</v>
      </c>
      <c r="AH173" s="6" t="str">
        <f t="shared" si="59"/>
        <v>Clean</v>
      </c>
      <c r="AI173" s="6" t="s">
        <v>602</v>
      </c>
      <c r="AJ173" s="6" t="s">
        <v>32</v>
      </c>
      <c r="AK173" s="6" t="s">
        <v>87</v>
      </c>
    </row>
    <row r="174" spans="1:37" ht="28">
      <c r="A174" s="6" t="str">
        <f t="shared" si="50"/>
        <v>SFO-2023</v>
      </c>
      <c r="B174" s="6" t="s">
        <v>84</v>
      </c>
      <c r="C174" s="6" t="s">
        <v>85</v>
      </c>
      <c r="D174" s="6" t="s">
        <v>86</v>
      </c>
      <c r="E174" s="6" t="s">
        <v>44</v>
      </c>
      <c r="F174" s="6" t="s">
        <v>31</v>
      </c>
      <c r="G174" s="11">
        <v>2023</v>
      </c>
      <c r="H174" s="9">
        <v>23419568</v>
      </c>
      <c r="I174" s="18">
        <v>1064104000</v>
      </c>
      <c r="J174" s="41"/>
      <c r="K174" s="41"/>
      <c r="L174" s="18">
        <v>30953000</v>
      </c>
      <c r="M174" s="18">
        <v>27957000</v>
      </c>
      <c r="N174" s="18">
        <v>79041000</v>
      </c>
      <c r="O174" s="18">
        <v>183359000</v>
      </c>
      <c r="P174" s="41"/>
      <c r="Q174" s="18">
        <v>20007000</v>
      </c>
      <c r="R174" s="41"/>
      <c r="S174" s="41"/>
      <c r="T174" s="18">
        <v>547275000</v>
      </c>
      <c r="U174" s="18">
        <v>161354000</v>
      </c>
      <c r="V174" s="18">
        <v>291104000</v>
      </c>
      <c r="W174" s="18">
        <v>8552890000</v>
      </c>
      <c r="X174" s="18">
        <v>538656000</v>
      </c>
      <c r="Y174" s="18">
        <f t="shared" si="51"/>
        <v>341317000</v>
      </c>
      <c r="Z174" s="42">
        <f t="shared" si="52"/>
        <v>0.32075530211332726</v>
      </c>
      <c r="AA174" s="6" t="str">
        <f t="shared" si="53"/>
        <v>No</v>
      </c>
      <c r="AB174" s="6" t="str">
        <f t="shared" si="54"/>
        <v>No</v>
      </c>
      <c r="AC174" s="6" t="str">
        <f t="shared" si="55"/>
        <v>No</v>
      </c>
      <c r="AD174" s="6" t="str">
        <f t="shared" si="56"/>
        <v>No</v>
      </c>
      <c r="AE174" s="6" t="str">
        <f t="shared" si="57"/>
        <v>No</v>
      </c>
      <c r="AF174" s="6" t="s">
        <v>639</v>
      </c>
      <c r="AG174" s="6" t="str">
        <f t="shared" si="58"/>
        <v>Yes</v>
      </c>
      <c r="AH174" s="6" t="str">
        <f t="shared" si="59"/>
        <v>Clean</v>
      </c>
      <c r="AI174" s="6" t="s">
        <v>602</v>
      </c>
      <c r="AJ174" s="6" t="s">
        <v>32</v>
      </c>
      <c r="AK174" s="6" t="s">
        <v>87</v>
      </c>
    </row>
    <row r="175" spans="1:37" ht="28">
      <c r="A175" s="6" t="str">
        <f t="shared" si="50"/>
        <v>SFO-2024</v>
      </c>
      <c r="B175" s="6" t="s">
        <v>84</v>
      </c>
      <c r="C175" s="6" t="s">
        <v>85</v>
      </c>
      <c r="D175" s="6" t="s">
        <v>86</v>
      </c>
      <c r="E175" s="6" t="s">
        <v>44</v>
      </c>
      <c r="F175" s="6" t="s">
        <v>31</v>
      </c>
      <c r="G175" s="11">
        <v>2024</v>
      </c>
      <c r="H175" s="9">
        <v>25515536</v>
      </c>
      <c r="I175" s="18">
        <v>1401390000</v>
      </c>
      <c r="J175" s="41"/>
      <c r="K175" s="41"/>
      <c r="L175" s="18">
        <v>38246000</v>
      </c>
      <c r="M175" s="18">
        <v>53235000</v>
      </c>
      <c r="N175" s="18">
        <v>80126000</v>
      </c>
      <c r="O175" s="18">
        <v>193914000</v>
      </c>
      <c r="P175" s="41"/>
      <c r="Q175" s="18">
        <v>22622000</v>
      </c>
      <c r="R175" s="41"/>
      <c r="S175" s="41"/>
      <c r="T175" s="18">
        <v>617684000</v>
      </c>
      <c r="U175" s="18">
        <v>424834000</v>
      </c>
      <c r="V175" s="18">
        <v>558514000</v>
      </c>
      <c r="W175" s="18">
        <v>8936700000</v>
      </c>
      <c r="X175" s="18">
        <v>819960000</v>
      </c>
      <c r="Y175" s="18">
        <f t="shared" si="51"/>
        <v>388143000</v>
      </c>
      <c r="Z175" s="42">
        <f t="shared" si="52"/>
        <v>0.27697000834885366</v>
      </c>
      <c r="AA175" s="6" t="str">
        <f t="shared" si="53"/>
        <v>No</v>
      </c>
      <c r="AB175" s="6" t="str">
        <f t="shared" si="54"/>
        <v>No</v>
      </c>
      <c r="AC175" s="6" t="str">
        <f t="shared" si="55"/>
        <v>No</v>
      </c>
      <c r="AD175" s="6" t="str">
        <f t="shared" si="56"/>
        <v>No</v>
      </c>
      <c r="AE175" s="6" t="str">
        <f t="shared" si="57"/>
        <v>No</v>
      </c>
      <c r="AF175" s="6" t="s">
        <v>639</v>
      </c>
      <c r="AG175" s="6" t="str">
        <f t="shared" si="58"/>
        <v>Yes</v>
      </c>
      <c r="AH175" s="6" t="str">
        <f t="shared" si="59"/>
        <v>Clean</v>
      </c>
      <c r="AI175" s="6" t="s">
        <v>602</v>
      </c>
      <c r="AJ175" s="6" t="s">
        <v>32</v>
      </c>
      <c r="AK175" s="6" t="s">
        <v>87</v>
      </c>
    </row>
    <row r="176" spans="1:37" ht="28">
      <c r="A176" s="6" t="str">
        <f t="shared" si="50"/>
        <v>SLC-2019</v>
      </c>
      <c r="B176" s="6" t="s">
        <v>120</v>
      </c>
      <c r="C176" s="6" t="s">
        <v>121</v>
      </c>
      <c r="D176" s="6" t="s">
        <v>122</v>
      </c>
      <c r="E176" s="6" t="s">
        <v>123</v>
      </c>
      <c r="F176" s="6" t="s">
        <v>31</v>
      </c>
      <c r="G176" s="11">
        <v>2019</v>
      </c>
      <c r="H176" s="9">
        <v>13090133</v>
      </c>
      <c r="I176" s="18">
        <v>173463000</v>
      </c>
      <c r="J176" s="41"/>
      <c r="K176" s="41"/>
      <c r="L176" s="18">
        <v>12196000</v>
      </c>
      <c r="M176" s="18">
        <v>6806000</v>
      </c>
      <c r="N176" s="18">
        <v>29856000</v>
      </c>
      <c r="O176" s="18">
        <v>42558000</v>
      </c>
      <c r="P176" s="41"/>
      <c r="Q176" s="18">
        <v>1452000</v>
      </c>
      <c r="R176" s="41"/>
      <c r="S176" s="41"/>
      <c r="T176" s="18">
        <v>98435000</v>
      </c>
      <c r="U176" s="18">
        <v>11479000</v>
      </c>
      <c r="V176" s="18">
        <v>749496000</v>
      </c>
      <c r="W176" s="18">
        <v>2047343000</v>
      </c>
      <c r="X176" s="18">
        <v>56004000</v>
      </c>
      <c r="Y176" s="18">
        <f t="shared" si="51"/>
        <v>92868000</v>
      </c>
      <c r="Z176" s="42">
        <f t="shared" si="52"/>
        <v>0.5353764203317134</v>
      </c>
      <c r="AA176" s="6" t="str">
        <f t="shared" si="53"/>
        <v>No</v>
      </c>
      <c r="AB176" s="6" t="str">
        <f t="shared" si="54"/>
        <v>No</v>
      </c>
      <c r="AC176" s="6" t="str">
        <f t="shared" si="55"/>
        <v>No</v>
      </c>
      <c r="AD176" s="6" t="str">
        <f t="shared" si="56"/>
        <v>No</v>
      </c>
      <c r="AE176" s="6" t="str">
        <f t="shared" si="57"/>
        <v>No</v>
      </c>
      <c r="AF176" s="6" t="s">
        <v>639</v>
      </c>
      <c r="AG176" s="6" t="str">
        <f t="shared" si="58"/>
        <v>Yes</v>
      </c>
      <c r="AH176" s="6" t="str">
        <f t="shared" si="59"/>
        <v>Clean</v>
      </c>
      <c r="AI176" s="6" t="s">
        <v>602</v>
      </c>
      <c r="AJ176" s="6" t="s">
        <v>32</v>
      </c>
      <c r="AK176" s="6" t="s">
        <v>124</v>
      </c>
    </row>
    <row r="177" spans="1:37" ht="28">
      <c r="A177" s="6" t="str">
        <f t="shared" si="50"/>
        <v>SLC-2020</v>
      </c>
      <c r="B177" s="6" t="s">
        <v>120</v>
      </c>
      <c r="C177" s="6" t="s">
        <v>121</v>
      </c>
      <c r="D177" s="6" t="s">
        <v>122</v>
      </c>
      <c r="E177" s="6" t="s">
        <v>123</v>
      </c>
      <c r="F177" s="6" t="s">
        <v>31</v>
      </c>
      <c r="G177" s="11">
        <v>2020</v>
      </c>
      <c r="H177" s="9">
        <v>10095732</v>
      </c>
      <c r="I177" s="18">
        <v>161326000</v>
      </c>
      <c r="J177" s="41"/>
      <c r="K177" s="41"/>
      <c r="L177" s="18">
        <v>10023000</v>
      </c>
      <c r="M177" s="18">
        <v>5426000</v>
      </c>
      <c r="N177" s="18">
        <v>25372000</v>
      </c>
      <c r="O177" s="18">
        <v>33281000</v>
      </c>
      <c r="P177" s="41"/>
      <c r="Q177" s="18">
        <v>1232000</v>
      </c>
      <c r="R177" s="41"/>
      <c r="S177" s="41"/>
      <c r="T177" s="18">
        <v>109903000</v>
      </c>
      <c r="U177" s="18">
        <v>-6181000</v>
      </c>
      <c r="V177" s="18">
        <v>798415000</v>
      </c>
      <c r="W177" s="18">
        <v>2040064000</v>
      </c>
      <c r="X177" s="18">
        <v>60374000</v>
      </c>
      <c r="Y177" s="18">
        <f t="shared" si="51"/>
        <v>75334000</v>
      </c>
      <c r="Z177" s="42">
        <f t="shared" si="52"/>
        <v>0.4669675067874986</v>
      </c>
      <c r="AA177" s="6" t="str">
        <f t="shared" si="53"/>
        <v>No</v>
      </c>
      <c r="AB177" s="6" t="str">
        <f t="shared" si="54"/>
        <v>No</v>
      </c>
      <c r="AC177" s="6" t="str">
        <f t="shared" si="55"/>
        <v>No</v>
      </c>
      <c r="AD177" s="6" t="str">
        <f t="shared" si="56"/>
        <v>Yes</v>
      </c>
      <c r="AE177" s="6" t="str">
        <f t="shared" si="57"/>
        <v>No</v>
      </c>
      <c r="AF177" s="6" t="s">
        <v>639</v>
      </c>
      <c r="AG177" s="6" t="str">
        <f t="shared" si="58"/>
        <v>Yes</v>
      </c>
      <c r="AH177" s="6" t="str">
        <f t="shared" si="59"/>
        <v>Clean</v>
      </c>
      <c r="AI177" s="6" t="s">
        <v>602</v>
      </c>
      <c r="AJ177" s="6" t="s">
        <v>32</v>
      </c>
      <c r="AK177" s="6" t="s">
        <v>124</v>
      </c>
    </row>
    <row r="178" spans="1:37" ht="28">
      <c r="A178" s="6" t="str">
        <f t="shared" si="50"/>
        <v>SLC-2021</v>
      </c>
      <c r="B178" s="6" t="s">
        <v>120</v>
      </c>
      <c r="C178" s="6" t="s">
        <v>121</v>
      </c>
      <c r="D178" s="6" t="s">
        <v>122</v>
      </c>
      <c r="E178" s="6" t="s">
        <v>123</v>
      </c>
      <c r="F178" s="6" t="s">
        <v>31</v>
      </c>
      <c r="G178" s="11">
        <v>2021</v>
      </c>
      <c r="H178" s="9">
        <v>7710155</v>
      </c>
      <c r="I178" s="18">
        <v>184684000</v>
      </c>
      <c r="J178" s="41"/>
      <c r="K178" s="41"/>
      <c r="L178" s="18">
        <v>6635000</v>
      </c>
      <c r="M178" s="18">
        <v>4395000</v>
      </c>
      <c r="N178" s="18">
        <v>24317000</v>
      </c>
      <c r="O178" s="18">
        <v>26463000</v>
      </c>
      <c r="P178" s="41"/>
      <c r="Q178" s="18">
        <v>1647000</v>
      </c>
      <c r="R178" s="41"/>
      <c r="S178" s="41"/>
      <c r="T178" s="18">
        <v>123676000</v>
      </c>
      <c r="U178" s="18">
        <v>-39882000</v>
      </c>
      <c r="V178" s="18">
        <v>2814270000</v>
      </c>
      <c r="W178" s="18">
        <v>2299845000</v>
      </c>
      <c r="X178" s="18">
        <v>92674000</v>
      </c>
      <c r="Y178" s="18">
        <f t="shared" si="51"/>
        <v>63457000</v>
      </c>
      <c r="Z178" s="42">
        <f t="shared" si="52"/>
        <v>0.34359771285005741</v>
      </c>
      <c r="AA178" s="6" t="str">
        <f t="shared" si="53"/>
        <v>No</v>
      </c>
      <c r="AB178" s="6" t="str">
        <f t="shared" si="54"/>
        <v>No</v>
      </c>
      <c r="AC178" s="6" t="str">
        <f t="shared" si="55"/>
        <v>No</v>
      </c>
      <c r="AD178" s="6" t="str">
        <f t="shared" si="56"/>
        <v>Yes</v>
      </c>
      <c r="AE178" s="6" t="str">
        <f t="shared" si="57"/>
        <v>No</v>
      </c>
      <c r="AF178" s="6" t="s">
        <v>639</v>
      </c>
      <c r="AG178" s="6" t="str">
        <f t="shared" si="58"/>
        <v>Yes</v>
      </c>
      <c r="AH178" s="6" t="str">
        <f t="shared" si="59"/>
        <v>Clean</v>
      </c>
      <c r="AI178" s="6" t="s">
        <v>602</v>
      </c>
      <c r="AJ178" s="6" t="s">
        <v>32</v>
      </c>
      <c r="AK178" s="6" t="s">
        <v>124</v>
      </c>
    </row>
    <row r="179" spans="1:37" ht="28">
      <c r="A179" s="6" t="str">
        <f t="shared" si="50"/>
        <v>SLC-2022</v>
      </c>
      <c r="B179" s="6" t="s">
        <v>120</v>
      </c>
      <c r="C179" s="6" t="s">
        <v>121</v>
      </c>
      <c r="D179" s="6" t="s">
        <v>122</v>
      </c>
      <c r="E179" s="6" t="s">
        <v>123</v>
      </c>
      <c r="F179" s="6" t="s">
        <v>31</v>
      </c>
      <c r="G179" s="11">
        <v>2022</v>
      </c>
      <c r="H179" s="9">
        <v>12802218</v>
      </c>
      <c r="I179" s="18">
        <v>258944000</v>
      </c>
      <c r="J179" s="41"/>
      <c r="K179" s="41"/>
      <c r="L179" s="18">
        <v>11916000</v>
      </c>
      <c r="M179" s="18">
        <v>7764000</v>
      </c>
      <c r="N179" s="18">
        <v>35378000</v>
      </c>
      <c r="O179" s="18">
        <v>55176000</v>
      </c>
      <c r="P179" s="41"/>
      <c r="Q179" s="18">
        <v>3077000</v>
      </c>
      <c r="R179" s="41"/>
      <c r="S179" s="41"/>
      <c r="T179" s="18">
        <v>140618000</v>
      </c>
      <c r="U179" s="18">
        <v>-25693000</v>
      </c>
      <c r="V179" s="18">
        <v>482103000</v>
      </c>
      <c r="W179" s="18">
        <v>3155794000</v>
      </c>
      <c r="X179" s="18">
        <v>115500000</v>
      </c>
      <c r="Y179" s="18">
        <f t="shared" si="51"/>
        <v>113311000</v>
      </c>
      <c r="Z179" s="42">
        <f t="shared" si="52"/>
        <v>0.43758882229362334</v>
      </c>
      <c r="AA179" s="6" t="str">
        <f t="shared" si="53"/>
        <v>No</v>
      </c>
      <c r="AB179" s="6" t="str">
        <f t="shared" si="54"/>
        <v>No</v>
      </c>
      <c r="AC179" s="6" t="str">
        <f t="shared" si="55"/>
        <v>No</v>
      </c>
      <c r="AD179" s="6" t="str">
        <f t="shared" si="56"/>
        <v>Yes</v>
      </c>
      <c r="AE179" s="6" t="str">
        <f t="shared" si="57"/>
        <v>No</v>
      </c>
      <c r="AF179" s="6" t="s">
        <v>639</v>
      </c>
      <c r="AG179" s="6" t="str">
        <f t="shared" si="58"/>
        <v>Yes</v>
      </c>
      <c r="AH179" s="6" t="str">
        <f t="shared" si="59"/>
        <v>Clean</v>
      </c>
      <c r="AI179" s="6" t="s">
        <v>602</v>
      </c>
      <c r="AJ179" s="6" t="s">
        <v>32</v>
      </c>
      <c r="AK179" s="6" t="s">
        <v>124</v>
      </c>
    </row>
    <row r="180" spans="1:37" ht="28">
      <c r="A180" s="6" t="str">
        <f t="shared" si="50"/>
        <v>SLC-2023</v>
      </c>
      <c r="B180" s="6" t="s">
        <v>120</v>
      </c>
      <c r="C180" s="6" t="s">
        <v>121</v>
      </c>
      <c r="D180" s="6" t="s">
        <v>122</v>
      </c>
      <c r="E180" s="6" t="s">
        <v>123</v>
      </c>
      <c r="F180" s="6" t="s">
        <v>31</v>
      </c>
      <c r="G180" s="11">
        <v>2023</v>
      </c>
      <c r="H180" s="9">
        <v>13143110</v>
      </c>
      <c r="I180" s="18">
        <v>283327000</v>
      </c>
      <c r="J180" s="41"/>
      <c r="K180" s="41"/>
      <c r="L180" s="18">
        <v>8741000</v>
      </c>
      <c r="M180" s="18">
        <v>3319000</v>
      </c>
      <c r="N180" s="18">
        <v>36053000</v>
      </c>
      <c r="O180" s="18">
        <v>67806000</v>
      </c>
      <c r="P180" s="41"/>
      <c r="Q180" s="18">
        <v>2910000</v>
      </c>
      <c r="R180" s="41"/>
      <c r="S180" s="41"/>
      <c r="T180" s="18">
        <v>172080000</v>
      </c>
      <c r="U180" s="18">
        <v>-37203000</v>
      </c>
      <c r="V180" s="18">
        <v>538727000</v>
      </c>
      <c r="W180" s="18">
        <v>3115587000</v>
      </c>
      <c r="X180" s="18">
        <v>127630000</v>
      </c>
      <c r="Y180" s="18">
        <f t="shared" si="51"/>
        <v>118829000</v>
      </c>
      <c r="Z180" s="42">
        <f t="shared" si="52"/>
        <v>0.41940584554242977</v>
      </c>
      <c r="AA180" s="6" t="str">
        <f t="shared" si="53"/>
        <v>No</v>
      </c>
      <c r="AB180" s="6" t="str">
        <f t="shared" si="54"/>
        <v>No</v>
      </c>
      <c r="AC180" s="6" t="str">
        <f t="shared" si="55"/>
        <v>No</v>
      </c>
      <c r="AD180" s="6" t="str">
        <f t="shared" si="56"/>
        <v>Yes</v>
      </c>
      <c r="AE180" s="6" t="str">
        <f t="shared" si="57"/>
        <v>No</v>
      </c>
      <c r="AF180" s="6" t="s">
        <v>639</v>
      </c>
      <c r="AG180" s="6" t="str">
        <f t="shared" si="58"/>
        <v>Yes</v>
      </c>
      <c r="AH180" s="6" t="str">
        <f t="shared" si="59"/>
        <v>Clean</v>
      </c>
      <c r="AI180" s="6" t="s">
        <v>602</v>
      </c>
      <c r="AJ180" s="6" t="s">
        <v>32</v>
      </c>
      <c r="AK180" s="6" t="s">
        <v>124</v>
      </c>
    </row>
    <row r="181" spans="1:37" ht="28">
      <c r="A181" s="6" t="str">
        <f t="shared" si="50"/>
        <v>SLC-2024</v>
      </c>
      <c r="B181" s="6" t="s">
        <v>120</v>
      </c>
      <c r="C181" s="6" t="s">
        <v>121</v>
      </c>
      <c r="D181" s="6" t="s">
        <v>122</v>
      </c>
      <c r="E181" s="6" t="s">
        <v>123</v>
      </c>
      <c r="F181" s="6" t="s">
        <v>31</v>
      </c>
      <c r="G181" s="11">
        <v>2024</v>
      </c>
      <c r="H181" s="9">
        <v>13850416</v>
      </c>
      <c r="I181" s="18">
        <v>326657000</v>
      </c>
      <c r="J181" s="41"/>
      <c r="K181" s="41"/>
      <c r="L181" s="18">
        <v>15928000</v>
      </c>
      <c r="M181" s="18">
        <v>9806000</v>
      </c>
      <c r="N181" s="18">
        <v>39723000</v>
      </c>
      <c r="O181" s="18">
        <v>77573000</v>
      </c>
      <c r="P181" s="41"/>
      <c r="Q181" s="18">
        <v>3361000</v>
      </c>
      <c r="R181" s="41"/>
      <c r="S181" s="41"/>
      <c r="T181" s="18">
        <v>184444000</v>
      </c>
      <c r="U181" s="18">
        <v>-20485000</v>
      </c>
      <c r="V181" s="18">
        <v>1014002000</v>
      </c>
      <c r="W181" s="18">
        <v>3726998000</v>
      </c>
      <c r="X181" s="18">
        <v>144601000</v>
      </c>
      <c r="Y181" s="18">
        <f t="shared" si="51"/>
        <v>146391000</v>
      </c>
      <c r="Z181" s="42">
        <f t="shared" si="52"/>
        <v>0.44814897583704005</v>
      </c>
      <c r="AA181" s="6" t="str">
        <f t="shared" si="53"/>
        <v>No</v>
      </c>
      <c r="AB181" s="6" t="str">
        <f t="shared" si="54"/>
        <v>No</v>
      </c>
      <c r="AC181" s="6" t="str">
        <f t="shared" si="55"/>
        <v>No</v>
      </c>
      <c r="AD181" s="6" t="str">
        <f t="shared" si="56"/>
        <v>Yes</v>
      </c>
      <c r="AE181" s="6" t="str">
        <f t="shared" si="57"/>
        <v>No</v>
      </c>
      <c r="AF181" s="6" t="s">
        <v>639</v>
      </c>
      <c r="AG181" s="6" t="str">
        <f t="shared" si="58"/>
        <v>Yes</v>
      </c>
      <c r="AH181" s="6" t="str">
        <f t="shared" si="59"/>
        <v>Clean</v>
      </c>
      <c r="AI181" s="6" t="s">
        <v>602</v>
      </c>
      <c r="AJ181" s="6" t="s">
        <v>32</v>
      </c>
      <c r="AK181" s="6" t="s">
        <v>124</v>
      </c>
    </row>
    <row r="182" spans="1:37" ht="28">
      <c r="A182" s="6" t="str">
        <f t="shared" si="50"/>
        <v>TPA-2019</v>
      </c>
      <c r="B182" s="6" t="s">
        <v>130</v>
      </c>
      <c r="C182" s="6" t="s">
        <v>131</v>
      </c>
      <c r="D182" s="6" t="s">
        <v>132</v>
      </c>
      <c r="E182" s="6" t="s">
        <v>82</v>
      </c>
      <c r="F182" s="6" t="s">
        <v>31</v>
      </c>
      <c r="G182" s="11">
        <v>2019</v>
      </c>
      <c r="H182" s="9">
        <v>11085290</v>
      </c>
      <c r="I182" s="18">
        <v>237209000</v>
      </c>
      <c r="J182" s="41"/>
      <c r="K182" s="41"/>
      <c r="L182" s="18">
        <v>18176000</v>
      </c>
      <c r="M182" s="18">
        <v>9314000</v>
      </c>
      <c r="N182" s="18">
        <v>44919000</v>
      </c>
      <c r="O182" s="18">
        <v>80309000</v>
      </c>
      <c r="P182" s="41"/>
      <c r="Q182" s="18">
        <v>5708000</v>
      </c>
      <c r="R182" s="41"/>
      <c r="S182" s="41"/>
      <c r="T182" s="18">
        <v>154016000</v>
      </c>
      <c r="U182" s="18">
        <v>-67245000</v>
      </c>
      <c r="V182" s="18">
        <v>155683000</v>
      </c>
      <c r="W182" s="18">
        <v>1465420000</v>
      </c>
      <c r="X182" s="18">
        <v>54748000</v>
      </c>
      <c r="Y182" s="18">
        <f t="shared" si="51"/>
        <v>158426000</v>
      </c>
      <c r="Z182" s="42">
        <f t="shared" si="52"/>
        <v>0.66787516493893573</v>
      </c>
      <c r="AA182" s="6" t="str">
        <f t="shared" si="53"/>
        <v>No</v>
      </c>
      <c r="AB182" s="6" t="str">
        <f t="shared" si="54"/>
        <v>No</v>
      </c>
      <c r="AC182" s="6" t="str">
        <f t="shared" si="55"/>
        <v>No</v>
      </c>
      <c r="AD182" s="6" t="str">
        <f t="shared" si="56"/>
        <v>Yes</v>
      </c>
      <c r="AE182" s="6" t="str">
        <f t="shared" si="57"/>
        <v>No</v>
      </c>
      <c r="AF182" s="6" t="s">
        <v>639</v>
      </c>
      <c r="AG182" s="6" t="str">
        <f t="shared" si="58"/>
        <v>Yes</v>
      </c>
      <c r="AH182" s="6" t="str">
        <f t="shared" si="59"/>
        <v>Clean</v>
      </c>
      <c r="AI182" s="6" t="s">
        <v>602</v>
      </c>
      <c r="AJ182" s="6" t="s">
        <v>32</v>
      </c>
      <c r="AK182" s="6" t="s">
        <v>133</v>
      </c>
    </row>
    <row r="183" spans="1:37" ht="28">
      <c r="A183" s="6" t="str">
        <f t="shared" si="50"/>
        <v>TPA-2020</v>
      </c>
      <c r="B183" s="6" t="s">
        <v>130</v>
      </c>
      <c r="C183" s="6" t="s">
        <v>131</v>
      </c>
      <c r="D183" s="6" t="s">
        <v>132</v>
      </c>
      <c r="E183" s="6" t="s">
        <v>82</v>
      </c>
      <c r="F183" s="6" t="s">
        <v>31</v>
      </c>
      <c r="G183" s="11">
        <v>2020</v>
      </c>
      <c r="H183" s="9">
        <v>6681063</v>
      </c>
      <c r="I183" s="18">
        <v>182516000</v>
      </c>
      <c r="J183" s="41"/>
      <c r="K183" s="41"/>
      <c r="L183" s="18">
        <v>10355000</v>
      </c>
      <c r="M183" s="18">
        <v>5415000</v>
      </c>
      <c r="N183" s="18">
        <v>32603000</v>
      </c>
      <c r="O183" s="18">
        <v>45577000</v>
      </c>
      <c r="P183" s="41"/>
      <c r="Q183" s="18">
        <v>2001000</v>
      </c>
      <c r="R183" s="41"/>
      <c r="S183" s="41"/>
      <c r="T183" s="18">
        <v>148771000</v>
      </c>
      <c r="U183" s="18">
        <v>-95269000</v>
      </c>
      <c r="V183" s="18">
        <v>251577000</v>
      </c>
      <c r="W183" s="18">
        <v>1432667000</v>
      </c>
      <c r="X183" s="18">
        <v>58528000</v>
      </c>
      <c r="Y183" s="18">
        <f t="shared" si="51"/>
        <v>95951000</v>
      </c>
      <c r="Z183" s="42">
        <f t="shared" si="52"/>
        <v>0.52571281421902738</v>
      </c>
      <c r="AA183" s="6" t="str">
        <f t="shared" si="53"/>
        <v>No</v>
      </c>
      <c r="AB183" s="6" t="str">
        <f t="shared" si="54"/>
        <v>No</v>
      </c>
      <c r="AC183" s="6" t="str">
        <f t="shared" si="55"/>
        <v>No</v>
      </c>
      <c r="AD183" s="6" t="str">
        <f t="shared" si="56"/>
        <v>Yes</v>
      </c>
      <c r="AE183" s="6" t="str">
        <f t="shared" si="57"/>
        <v>No</v>
      </c>
      <c r="AF183" s="6" t="s">
        <v>639</v>
      </c>
      <c r="AG183" s="6" t="str">
        <f t="shared" si="58"/>
        <v>Yes</v>
      </c>
      <c r="AH183" s="6" t="str">
        <f t="shared" si="59"/>
        <v>Clean</v>
      </c>
      <c r="AI183" s="6" t="s">
        <v>602</v>
      </c>
      <c r="AJ183" s="6" t="s">
        <v>32</v>
      </c>
      <c r="AK183" s="6" t="s">
        <v>133</v>
      </c>
    </row>
    <row r="184" spans="1:37" ht="28">
      <c r="A184" s="6" t="str">
        <f t="shared" si="50"/>
        <v>TPA-2021</v>
      </c>
      <c r="B184" s="6" t="s">
        <v>130</v>
      </c>
      <c r="C184" s="6" t="s">
        <v>131</v>
      </c>
      <c r="D184" s="6" t="s">
        <v>132</v>
      </c>
      <c r="E184" s="6" t="s">
        <v>82</v>
      </c>
      <c r="F184" s="6" t="s">
        <v>31</v>
      </c>
      <c r="G184" s="11">
        <v>2021</v>
      </c>
      <c r="H184" s="9">
        <v>7717164</v>
      </c>
      <c r="I184" s="18">
        <v>222812000</v>
      </c>
      <c r="J184" s="41"/>
      <c r="K184" s="41"/>
      <c r="L184" s="18">
        <v>9604000</v>
      </c>
      <c r="M184" s="18">
        <v>5871000</v>
      </c>
      <c r="N184" s="18">
        <v>39205000</v>
      </c>
      <c r="O184" s="18">
        <v>50600000</v>
      </c>
      <c r="P184" s="41"/>
      <c r="Q184" s="18">
        <v>2266000</v>
      </c>
      <c r="R184" s="41"/>
      <c r="S184" s="41"/>
      <c r="T184" s="18">
        <v>133797000</v>
      </c>
      <c r="U184" s="18">
        <v>-37917000</v>
      </c>
      <c r="V184" s="18">
        <v>240071000</v>
      </c>
      <c r="W184" s="18">
        <v>1465466000</v>
      </c>
      <c r="X184" s="18">
        <v>83907000</v>
      </c>
      <c r="Y184" s="18">
        <f t="shared" si="51"/>
        <v>107546000</v>
      </c>
      <c r="Z184" s="42">
        <f t="shared" si="52"/>
        <v>0.48267597795450873</v>
      </c>
      <c r="AA184" s="6" t="str">
        <f t="shared" si="53"/>
        <v>No</v>
      </c>
      <c r="AB184" s="6" t="str">
        <f t="shared" si="54"/>
        <v>No</v>
      </c>
      <c r="AC184" s="6" t="str">
        <f t="shared" si="55"/>
        <v>No</v>
      </c>
      <c r="AD184" s="6" t="str">
        <f t="shared" si="56"/>
        <v>Yes</v>
      </c>
      <c r="AE184" s="6" t="str">
        <f t="shared" si="57"/>
        <v>No</v>
      </c>
      <c r="AF184" s="6" t="s">
        <v>639</v>
      </c>
      <c r="AG184" s="6" t="str">
        <f t="shared" si="58"/>
        <v>Yes</v>
      </c>
      <c r="AH184" s="6" t="str">
        <f t="shared" si="59"/>
        <v>Clean</v>
      </c>
      <c r="AI184" s="6" t="s">
        <v>602</v>
      </c>
      <c r="AJ184" s="6" t="s">
        <v>32</v>
      </c>
      <c r="AK184" s="6" t="s">
        <v>133</v>
      </c>
    </row>
    <row r="185" spans="1:37" ht="28">
      <c r="A185" s="6" t="str">
        <f t="shared" si="50"/>
        <v>TPA-2022</v>
      </c>
      <c r="B185" s="6" t="s">
        <v>130</v>
      </c>
      <c r="C185" s="6" t="s">
        <v>131</v>
      </c>
      <c r="D185" s="6" t="s">
        <v>132</v>
      </c>
      <c r="E185" s="6" t="s">
        <v>82</v>
      </c>
      <c r="F185" s="6" t="s">
        <v>31</v>
      </c>
      <c r="G185" s="11">
        <v>2022</v>
      </c>
      <c r="H185" s="9">
        <v>10688831</v>
      </c>
      <c r="I185" s="18">
        <v>306066000</v>
      </c>
      <c r="J185" s="41"/>
      <c r="K185" s="41"/>
      <c r="L185" s="18">
        <v>17854000</v>
      </c>
      <c r="M185" s="18">
        <v>10037000</v>
      </c>
      <c r="N185" s="18">
        <v>54112000</v>
      </c>
      <c r="O185" s="18">
        <v>88280000</v>
      </c>
      <c r="P185" s="41"/>
      <c r="Q185" s="18">
        <v>3195000</v>
      </c>
      <c r="R185" s="41"/>
      <c r="S185" s="41"/>
      <c r="T185" s="18">
        <v>166129000</v>
      </c>
      <c r="U185" s="18">
        <v>-27682000</v>
      </c>
      <c r="V185" s="18">
        <v>174315000</v>
      </c>
      <c r="W185" s="18">
        <v>1718745000</v>
      </c>
      <c r="X185" s="18">
        <v>101438000</v>
      </c>
      <c r="Y185" s="18">
        <f t="shared" si="51"/>
        <v>173478000</v>
      </c>
      <c r="Z185" s="42">
        <f t="shared" si="52"/>
        <v>0.56679931779420123</v>
      </c>
      <c r="AA185" s="6" t="str">
        <f t="shared" si="53"/>
        <v>No</v>
      </c>
      <c r="AB185" s="6" t="str">
        <f t="shared" si="54"/>
        <v>No</v>
      </c>
      <c r="AC185" s="6" t="str">
        <f t="shared" si="55"/>
        <v>No</v>
      </c>
      <c r="AD185" s="6" t="str">
        <f t="shared" si="56"/>
        <v>Yes</v>
      </c>
      <c r="AE185" s="6" t="str">
        <f t="shared" si="57"/>
        <v>No</v>
      </c>
      <c r="AF185" s="6" t="s">
        <v>639</v>
      </c>
      <c r="AG185" s="6" t="str">
        <f t="shared" si="58"/>
        <v>Yes</v>
      </c>
      <c r="AH185" s="6" t="str">
        <f t="shared" si="59"/>
        <v>Clean</v>
      </c>
      <c r="AI185" s="6" t="s">
        <v>602</v>
      </c>
      <c r="AJ185" s="6" t="s">
        <v>32</v>
      </c>
      <c r="AK185" s="6" t="s">
        <v>133</v>
      </c>
    </row>
    <row r="186" spans="1:37" ht="28">
      <c r="A186" s="6" t="str">
        <f t="shared" si="50"/>
        <v>TPA-2023</v>
      </c>
      <c r="B186" s="6" t="s">
        <v>130</v>
      </c>
      <c r="C186" s="6" t="s">
        <v>131</v>
      </c>
      <c r="D186" s="6" t="s">
        <v>132</v>
      </c>
      <c r="E186" s="6" t="s">
        <v>82</v>
      </c>
      <c r="F186" s="6" t="s">
        <v>31</v>
      </c>
      <c r="G186" s="11">
        <v>2023</v>
      </c>
      <c r="H186" s="9">
        <v>11560792</v>
      </c>
      <c r="I186" s="18">
        <v>337821000</v>
      </c>
      <c r="J186" s="41"/>
      <c r="K186" s="41"/>
      <c r="L186" s="18">
        <v>21364000</v>
      </c>
      <c r="M186" s="18">
        <v>11516000</v>
      </c>
      <c r="N186" s="18">
        <v>50325000</v>
      </c>
      <c r="O186" s="18">
        <v>103347000</v>
      </c>
      <c r="P186" s="41"/>
      <c r="Q186" s="18">
        <v>4344000</v>
      </c>
      <c r="R186" s="41"/>
      <c r="S186" s="41"/>
      <c r="T186" s="18">
        <v>190166000</v>
      </c>
      <c r="U186" s="18">
        <v>-31315000</v>
      </c>
      <c r="V186" s="18">
        <v>308562000</v>
      </c>
      <c r="W186" s="18">
        <v>1668720000</v>
      </c>
      <c r="X186" s="18">
        <v>112309000</v>
      </c>
      <c r="Y186" s="18">
        <f t="shared" si="51"/>
        <v>190896000</v>
      </c>
      <c r="Z186" s="42">
        <f t="shared" si="52"/>
        <v>0.56508032360332838</v>
      </c>
      <c r="AA186" s="6" t="str">
        <f t="shared" si="53"/>
        <v>No</v>
      </c>
      <c r="AB186" s="6" t="str">
        <f t="shared" si="54"/>
        <v>No</v>
      </c>
      <c r="AC186" s="6" t="str">
        <f t="shared" si="55"/>
        <v>No</v>
      </c>
      <c r="AD186" s="6" t="str">
        <f t="shared" si="56"/>
        <v>Yes</v>
      </c>
      <c r="AE186" s="6" t="str">
        <f t="shared" si="57"/>
        <v>No</v>
      </c>
      <c r="AF186" s="6" t="s">
        <v>639</v>
      </c>
      <c r="AG186" s="6" t="str">
        <f t="shared" si="58"/>
        <v>Yes</v>
      </c>
      <c r="AH186" s="6" t="str">
        <f t="shared" si="59"/>
        <v>Clean</v>
      </c>
      <c r="AI186" s="6" t="s">
        <v>602</v>
      </c>
      <c r="AJ186" s="6" t="s">
        <v>32</v>
      </c>
      <c r="AK186" s="6" t="s">
        <v>133</v>
      </c>
    </row>
    <row r="187" spans="1:37" ht="28">
      <c r="A187" s="6" t="str">
        <f t="shared" si="50"/>
        <v>TPA-2024</v>
      </c>
      <c r="B187" s="6" t="s">
        <v>130</v>
      </c>
      <c r="C187" s="6" t="s">
        <v>131</v>
      </c>
      <c r="D187" s="6" t="s">
        <v>132</v>
      </c>
      <c r="E187" s="6" t="s">
        <v>82</v>
      </c>
      <c r="F187" s="6" t="s">
        <v>31</v>
      </c>
      <c r="G187" s="11">
        <v>2024</v>
      </c>
      <c r="H187" s="9">
        <v>12584892</v>
      </c>
      <c r="I187" s="18">
        <v>370742000</v>
      </c>
      <c r="J187" s="41"/>
      <c r="K187" s="41"/>
      <c r="L187" s="18">
        <v>23613000</v>
      </c>
      <c r="M187" s="18">
        <v>11816000</v>
      </c>
      <c r="N187" s="18">
        <v>50767000</v>
      </c>
      <c r="O187" s="18">
        <v>113610000</v>
      </c>
      <c r="P187" s="41"/>
      <c r="Q187" s="18">
        <v>4997000</v>
      </c>
      <c r="R187" s="41"/>
      <c r="S187" s="41"/>
      <c r="T187" s="18">
        <v>192618000</v>
      </c>
      <c r="U187" s="18">
        <v>-3421000</v>
      </c>
      <c r="V187" s="18">
        <v>263757000</v>
      </c>
      <c r="W187" s="18">
        <v>2081165000</v>
      </c>
      <c r="X187" s="18">
        <v>128677000</v>
      </c>
      <c r="Y187" s="18">
        <f t="shared" si="51"/>
        <v>204803000</v>
      </c>
      <c r="Z187" s="42">
        <f t="shared" si="52"/>
        <v>0.55241380798506778</v>
      </c>
      <c r="AA187" s="6" t="str">
        <f t="shared" si="53"/>
        <v>No</v>
      </c>
      <c r="AB187" s="6" t="str">
        <f t="shared" si="54"/>
        <v>No</v>
      </c>
      <c r="AC187" s="6" t="str">
        <f t="shared" si="55"/>
        <v>No</v>
      </c>
      <c r="AD187" s="6" t="str">
        <f t="shared" si="56"/>
        <v>Yes</v>
      </c>
      <c r="AE187" s="6" t="str">
        <f t="shared" si="57"/>
        <v>No</v>
      </c>
      <c r="AF187" s="6" t="s">
        <v>639</v>
      </c>
      <c r="AG187" s="6" t="str">
        <f t="shared" si="58"/>
        <v>Yes</v>
      </c>
      <c r="AH187" s="6" t="str">
        <f t="shared" si="59"/>
        <v>Clean</v>
      </c>
      <c r="AI187" s="6" t="s">
        <v>602</v>
      </c>
      <c r="AJ187" s="6" t="s">
        <v>32</v>
      </c>
      <c r="AK187" s="6" t="s">
        <v>133</v>
      </c>
    </row>
  </sheetData>
  <conditionalFormatting sqref="AA2:AA187">
    <cfRule type="expression" dxfId="8" priority="1">
      <formula>AA2="Yes"</formula>
    </cfRule>
  </conditionalFormatting>
  <conditionalFormatting sqref="AB2:AB187">
    <cfRule type="expression" dxfId="7" priority="2">
      <formula>AB2="Yes"</formula>
    </cfRule>
  </conditionalFormatting>
  <conditionalFormatting sqref="AC2:AC187">
    <cfRule type="expression" dxfId="6" priority="3">
      <formula>AC2="Yes"</formula>
    </cfRule>
  </conditionalFormatting>
  <conditionalFormatting sqref="AD2:AD187">
    <cfRule type="expression" dxfId="5" priority="4">
      <formula>AD2="Yes"</formula>
    </cfRule>
  </conditionalFormatting>
  <conditionalFormatting sqref="AE2:AE187">
    <cfRule type="expression" dxfId="4" priority="5">
      <formula>AE2="Yes"</formula>
    </cfRule>
  </conditionalFormatting>
  <conditionalFormatting sqref="AG2:AG187">
    <cfRule type="expression" dxfId="3" priority="6">
      <formula>AG2="Yes"</formula>
    </cfRule>
  </conditionalFormatting>
  <conditionalFormatting sqref="AH2:AH187">
    <cfRule type="expression" dxfId="2" priority="7">
      <formula>AH2="Clean"</formula>
    </cfRule>
    <cfRule type="expression" dxfId="1" priority="8">
      <formula>AH2="Clean - Flagged"</formula>
    </cfRule>
    <cfRule type="expression" dxfId="0" priority="9">
      <formula>LEFT(AH2,6)="Review"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5"/>
  <sheetViews>
    <sheetView workbookViewId="0"/>
  </sheetViews>
  <sheetFormatPr defaultRowHeight="14"/>
  <cols>
    <col min="1" max="1" width="28" customWidth="1"/>
    <col min="2" max="2" width="22" customWidth="1"/>
    <col min="3" max="3" width="18" customWidth="1"/>
    <col min="4" max="5" width="62" customWidth="1"/>
  </cols>
  <sheetData>
    <row r="1" spans="1:8" ht="19">
      <c r="A1" s="53" t="s">
        <v>641</v>
      </c>
      <c r="B1" s="53"/>
      <c r="C1" s="53"/>
      <c r="D1" s="53"/>
      <c r="E1" s="53"/>
      <c r="F1" s="53"/>
      <c r="G1" s="53"/>
      <c r="H1" s="53"/>
    </row>
    <row r="2" spans="1:8">
      <c r="A2" s="6"/>
      <c r="B2" s="6"/>
      <c r="C2" s="6"/>
      <c r="D2" s="6"/>
      <c r="E2" s="6"/>
      <c r="F2" s="6"/>
      <c r="G2" s="6"/>
      <c r="H2" s="6"/>
    </row>
    <row r="3" spans="1:8">
      <c r="A3" s="43" t="s">
        <v>642</v>
      </c>
      <c r="B3" s="43" t="s">
        <v>643</v>
      </c>
      <c r="C3" s="43" t="s">
        <v>268</v>
      </c>
      <c r="D3" s="43" t="s">
        <v>512</v>
      </c>
      <c r="E3" s="6"/>
      <c r="F3" s="6"/>
      <c r="G3" s="6"/>
      <c r="H3" s="6"/>
    </row>
    <row r="4" spans="1:8">
      <c r="A4" s="6" t="s">
        <v>644</v>
      </c>
      <c r="B4" s="6">
        <v>198</v>
      </c>
      <c r="C4" s="6" t="s">
        <v>645</v>
      </c>
      <c r="D4" s="6" t="s">
        <v>646</v>
      </c>
      <c r="E4" s="6"/>
      <c r="F4" s="6"/>
      <c r="G4" s="6"/>
      <c r="H4" s="6"/>
    </row>
    <row r="5" spans="1:8">
      <c r="A5" s="6" t="s">
        <v>647</v>
      </c>
      <c r="B5" s="6">
        <v>186</v>
      </c>
      <c r="C5" s="6" t="s">
        <v>345</v>
      </c>
      <c r="D5" s="6" t="s">
        <v>329</v>
      </c>
      <c r="E5" s="6"/>
      <c r="F5" s="6"/>
      <c r="G5" s="6"/>
      <c r="H5" s="6"/>
    </row>
    <row r="6" spans="1:8">
      <c r="A6" s="6" t="s">
        <v>648</v>
      </c>
      <c r="B6" s="6">
        <v>12</v>
      </c>
      <c r="C6" s="6" t="s">
        <v>345</v>
      </c>
      <c r="D6" s="6" t="s">
        <v>649</v>
      </c>
      <c r="E6" s="6"/>
      <c r="F6" s="6"/>
      <c r="G6" s="6"/>
      <c r="H6" s="6"/>
    </row>
    <row r="7" spans="1:8">
      <c r="A7" s="6" t="s">
        <v>650</v>
      </c>
      <c r="B7" s="6">
        <v>0</v>
      </c>
      <c r="C7" s="6" t="s">
        <v>345</v>
      </c>
      <c r="D7" s="6" t="s">
        <v>651</v>
      </c>
      <c r="E7" s="6"/>
      <c r="F7" s="6"/>
      <c r="G7" s="6"/>
      <c r="H7" s="6"/>
    </row>
    <row r="8" spans="1:8" ht="28">
      <c r="A8" s="6" t="s">
        <v>652</v>
      </c>
      <c r="B8" s="6">
        <v>0</v>
      </c>
      <c r="C8" s="6" t="s">
        <v>345</v>
      </c>
      <c r="D8" s="6" t="s">
        <v>653</v>
      </c>
      <c r="E8" s="6"/>
      <c r="F8" s="6"/>
      <c r="G8" s="6"/>
      <c r="H8" s="6"/>
    </row>
    <row r="9" spans="1:8" ht="28">
      <c r="A9" s="6" t="s">
        <v>654</v>
      </c>
      <c r="B9" s="6">
        <v>5</v>
      </c>
      <c r="C9" s="6" t="s">
        <v>348</v>
      </c>
      <c r="D9" s="6" t="s">
        <v>655</v>
      </c>
      <c r="E9" s="6"/>
      <c r="F9" s="6"/>
      <c r="G9" s="6"/>
      <c r="H9" s="6"/>
    </row>
    <row r="10" spans="1:8" ht="28">
      <c r="A10" s="6" t="s">
        <v>656</v>
      </c>
      <c r="B10" s="6">
        <v>3</v>
      </c>
      <c r="C10" s="6" t="s">
        <v>348</v>
      </c>
      <c r="D10" s="6" t="s">
        <v>657</v>
      </c>
      <c r="E10" s="6"/>
      <c r="F10" s="6"/>
      <c r="G10" s="6"/>
      <c r="H10" s="6"/>
    </row>
    <row r="11" spans="1:8" ht="28">
      <c r="A11" s="6" t="s">
        <v>658</v>
      </c>
      <c r="B11" s="6">
        <v>82</v>
      </c>
      <c r="C11" s="6" t="s">
        <v>659</v>
      </c>
      <c r="D11" s="6" t="s">
        <v>660</v>
      </c>
      <c r="E11" s="6"/>
      <c r="F11" s="6"/>
      <c r="G11" s="6"/>
      <c r="H11" s="6"/>
    </row>
    <row r="12" spans="1:8" ht="28">
      <c r="A12" s="6" t="s">
        <v>661</v>
      </c>
      <c r="B12" s="6">
        <v>16</v>
      </c>
      <c r="C12" s="6" t="s">
        <v>659</v>
      </c>
      <c r="D12" s="6" t="s">
        <v>662</v>
      </c>
      <c r="E12" s="6"/>
      <c r="F12" s="6"/>
      <c r="G12" s="6"/>
      <c r="H12" s="6"/>
    </row>
    <row r="13" spans="1:8" ht="28">
      <c r="A13" s="6" t="s">
        <v>663</v>
      </c>
      <c r="B13" s="6">
        <v>186</v>
      </c>
      <c r="C13" s="6" t="s">
        <v>275</v>
      </c>
      <c r="D13" s="6" t="s">
        <v>664</v>
      </c>
      <c r="E13" s="6"/>
      <c r="F13" s="6"/>
      <c r="G13" s="6"/>
      <c r="H13" s="6"/>
    </row>
    <row r="14" spans="1:8">
      <c r="A14" s="6"/>
      <c r="B14" s="6"/>
      <c r="C14" s="6"/>
      <c r="D14" s="6"/>
      <c r="E14" s="6"/>
      <c r="F14" s="6"/>
      <c r="G14" s="6"/>
      <c r="H14" s="6"/>
    </row>
    <row r="15" spans="1:8">
      <c r="A15" s="6"/>
      <c r="B15" s="6"/>
      <c r="C15" s="6"/>
      <c r="D15" s="6"/>
      <c r="E15" s="6"/>
      <c r="F15" s="6"/>
      <c r="G15" s="6"/>
      <c r="H15" s="6"/>
    </row>
    <row r="16" spans="1:8">
      <c r="A16" s="44" t="s">
        <v>665</v>
      </c>
      <c r="B16" s="44" t="s">
        <v>541</v>
      </c>
      <c r="C16" s="44" t="s">
        <v>666</v>
      </c>
      <c r="D16" s="44" t="s">
        <v>643</v>
      </c>
      <c r="E16" s="6"/>
      <c r="F16" s="6"/>
      <c r="G16" s="6"/>
      <c r="H16" s="6"/>
    </row>
    <row r="17" spans="1:8" ht="42">
      <c r="A17" s="6" t="s">
        <v>667</v>
      </c>
      <c r="B17" s="6" t="s">
        <v>668</v>
      </c>
      <c r="C17" s="6" t="s">
        <v>669</v>
      </c>
      <c r="D17" s="6" t="s">
        <v>670</v>
      </c>
      <c r="E17" s="6"/>
      <c r="F17" s="6"/>
      <c r="G17" s="6"/>
      <c r="H17" s="6"/>
    </row>
    <row r="18" spans="1:8" ht="28">
      <c r="A18" s="6" t="s">
        <v>671</v>
      </c>
      <c r="B18" s="6" t="s">
        <v>672</v>
      </c>
      <c r="C18" s="6" t="s">
        <v>673</v>
      </c>
      <c r="D18" s="6" t="s">
        <v>674</v>
      </c>
      <c r="E18" s="6"/>
      <c r="F18" s="6"/>
      <c r="G18" s="6"/>
      <c r="H18" s="6"/>
    </row>
    <row r="19" spans="1:8" ht="42">
      <c r="A19" s="6" t="s">
        <v>675</v>
      </c>
      <c r="B19" s="6" t="s">
        <v>676</v>
      </c>
      <c r="C19" s="6" t="s">
        <v>677</v>
      </c>
      <c r="D19" s="6" t="s">
        <v>678</v>
      </c>
      <c r="E19" s="6"/>
      <c r="F19" s="6"/>
      <c r="G19" s="6"/>
      <c r="H19" s="6"/>
    </row>
    <row r="20" spans="1:8" ht="28">
      <c r="A20" s="6" t="s">
        <v>679</v>
      </c>
      <c r="B20" s="6" t="s">
        <v>680</v>
      </c>
      <c r="C20" s="6" t="s">
        <v>681</v>
      </c>
      <c r="D20" s="6" t="s">
        <v>682</v>
      </c>
      <c r="E20" s="6"/>
      <c r="F20" s="6"/>
      <c r="G20" s="6"/>
      <c r="H20" s="6"/>
    </row>
    <row r="21" spans="1:8" ht="28">
      <c r="A21" s="6" t="s">
        <v>683</v>
      </c>
      <c r="B21" s="6" t="s">
        <v>684</v>
      </c>
      <c r="C21" s="6" t="s">
        <v>685</v>
      </c>
      <c r="D21" s="6" t="s">
        <v>686</v>
      </c>
      <c r="E21" s="6"/>
      <c r="F21" s="6"/>
      <c r="G21" s="6"/>
      <c r="H21" s="6"/>
    </row>
    <row r="22" spans="1:8" ht="56">
      <c r="A22" s="6" t="s">
        <v>687</v>
      </c>
      <c r="B22" s="6" t="s">
        <v>688</v>
      </c>
      <c r="C22" s="6" t="s">
        <v>689</v>
      </c>
      <c r="D22" s="6" t="s">
        <v>690</v>
      </c>
      <c r="E22" s="6"/>
      <c r="F22" s="6"/>
      <c r="G22" s="6"/>
      <c r="H22" s="6"/>
    </row>
    <row r="23" spans="1:8" ht="56">
      <c r="A23" s="6" t="s">
        <v>691</v>
      </c>
      <c r="B23" s="6" t="s">
        <v>692</v>
      </c>
      <c r="C23" s="6" t="s">
        <v>693</v>
      </c>
      <c r="D23" s="6" t="s">
        <v>694</v>
      </c>
      <c r="E23" s="6"/>
      <c r="F23" s="6"/>
      <c r="G23" s="6"/>
      <c r="H23" s="6"/>
    </row>
    <row r="24" spans="1:8" ht="42">
      <c r="A24" s="6" t="s">
        <v>695</v>
      </c>
      <c r="B24" s="6" t="s">
        <v>696</v>
      </c>
      <c r="C24" s="6" t="s">
        <v>697</v>
      </c>
      <c r="D24" s="6" t="s">
        <v>698</v>
      </c>
      <c r="E24" s="6"/>
      <c r="F24" s="6"/>
      <c r="G24" s="6"/>
      <c r="H24" s="6"/>
    </row>
    <row r="25" spans="1:8">
      <c r="A25" s="6"/>
      <c r="B25" s="6"/>
      <c r="C25" s="6"/>
      <c r="D25" s="6"/>
      <c r="E25" s="6"/>
      <c r="F25" s="6"/>
      <c r="G25" s="6"/>
      <c r="H25" s="6"/>
    </row>
    <row r="26" spans="1:8">
      <c r="A26" s="6"/>
      <c r="B26" s="6"/>
      <c r="C26" s="6"/>
      <c r="D26" s="6"/>
      <c r="E26" s="6"/>
      <c r="F26" s="6"/>
      <c r="G26" s="6"/>
      <c r="H26" s="6"/>
    </row>
    <row r="27" spans="1:8">
      <c r="A27" s="6"/>
      <c r="B27" s="6"/>
      <c r="C27" s="6"/>
      <c r="D27" s="6"/>
      <c r="E27" s="6"/>
      <c r="F27" s="6"/>
      <c r="G27" s="6"/>
      <c r="H27" s="6"/>
    </row>
    <row r="28" spans="1:8">
      <c r="A28" s="45" t="s">
        <v>699</v>
      </c>
      <c r="B28" s="45" t="s">
        <v>700</v>
      </c>
      <c r="C28" s="45" t="s">
        <v>701</v>
      </c>
      <c r="D28" s="45" t="s">
        <v>702</v>
      </c>
      <c r="E28" s="45" t="s">
        <v>703</v>
      </c>
      <c r="F28" s="6"/>
      <c r="G28" s="6"/>
      <c r="H28" s="6"/>
    </row>
    <row r="29" spans="1:8" ht="28">
      <c r="A29" s="6" t="s">
        <v>74</v>
      </c>
      <c r="B29" s="6" t="s">
        <v>704</v>
      </c>
      <c r="C29" s="6" t="s">
        <v>15</v>
      </c>
      <c r="D29" s="6" t="s">
        <v>705</v>
      </c>
      <c r="E29" s="6" t="s">
        <v>706</v>
      </c>
      <c r="F29" s="6"/>
      <c r="G29" s="6"/>
      <c r="H29" s="6"/>
    </row>
    <row r="30" spans="1:8" ht="28">
      <c r="A30" s="6" t="s">
        <v>115</v>
      </c>
      <c r="B30" s="6" t="s">
        <v>707</v>
      </c>
      <c r="C30" s="6" t="s">
        <v>15</v>
      </c>
      <c r="D30" s="6" t="s">
        <v>708</v>
      </c>
      <c r="E30" s="6" t="s">
        <v>709</v>
      </c>
      <c r="F30" s="6"/>
      <c r="G30" s="6"/>
      <c r="H30" s="6"/>
    </row>
    <row r="31" spans="1:8">
      <c r="A31" s="6" t="s">
        <v>158</v>
      </c>
      <c r="B31" s="6" t="s">
        <v>710</v>
      </c>
      <c r="C31" s="6" t="s">
        <v>21</v>
      </c>
      <c r="D31" s="6" t="s">
        <v>711</v>
      </c>
      <c r="E31" s="6" t="s">
        <v>712</v>
      </c>
      <c r="F31" s="6"/>
      <c r="G31" s="6"/>
      <c r="H31" s="6"/>
    </row>
    <row r="32" spans="1:8">
      <c r="A32" s="6" t="s">
        <v>164</v>
      </c>
      <c r="B32" s="6" t="s">
        <v>244</v>
      </c>
      <c r="C32" s="6" t="s">
        <v>21</v>
      </c>
      <c r="D32" s="6" t="s">
        <v>711</v>
      </c>
      <c r="E32" s="6" t="s">
        <v>712</v>
      </c>
      <c r="F32" s="6"/>
      <c r="G32" s="6"/>
      <c r="H32" s="6"/>
    </row>
    <row r="33" spans="1:8">
      <c r="A33" s="6" t="s">
        <v>170</v>
      </c>
      <c r="B33" s="6" t="s">
        <v>244</v>
      </c>
      <c r="C33" s="6" t="s">
        <v>21</v>
      </c>
      <c r="D33" s="6" t="s">
        <v>711</v>
      </c>
      <c r="E33" s="6" t="s">
        <v>712</v>
      </c>
      <c r="F33" s="6"/>
      <c r="G33" s="6"/>
      <c r="H33" s="6"/>
    </row>
    <row r="34" spans="1:8" ht="56">
      <c r="A34" s="6" t="s">
        <v>713</v>
      </c>
      <c r="B34" s="6" t="s">
        <v>244</v>
      </c>
      <c r="C34" s="6" t="s">
        <v>714</v>
      </c>
      <c r="D34" s="6" t="s">
        <v>715</v>
      </c>
      <c r="E34" s="6" t="s">
        <v>716</v>
      </c>
      <c r="F34" s="6"/>
      <c r="G34" s="6"/>
      <c r="H34" s="6"/>
    </row>
    <row r="35" spans="1:8">
      <c r="A35" s="6"/>
      <c r="B35" s="6"/>
      <c r="C35" s="6"/>
      <c r="D35" s="6"/>
      <c r="E35" s="6"/>
      <c r="F35" s="6"/>
      <c r="G35" s="6"/>
      <c r="H35" s="6"/>
    </row>
    <row r="36" spans="1:8">
      <c r="A36" s="6"/>
      <c r="B36" s="6"/>
      <c r="C36" s="6"/>
      <c r="D36" s="6"/>
      <c r="E36" s="6"/>
      <c r="F36" s="6"/>
      <c r="G36" s="6"/>
      <c r="H36" s="6"/>
    </row>
    <row r="37" spans="1:8">
      <c r="A37" s="6"/>
      <c r="B37" s="6"/>
      <c r="C37" s="6"/>
      <c r="D37" s="6"/>
      <c r="E37" s="6"/>
      <c r="F37" s="6"/>
      <c r="G37" s="6"/>
      <c r="H37" s="6"/>
    </row>
    <row r="38" spans="1:8" ht="14.5">
      <c r="A38" s="54" t="s">
        <v>717</v>
      </c>
      <c r="B38" s="54"/>
      <c r="C38" s="54"/>
      <c r="D38" s="54"/>
      <c r="E38" s="54"/>
      <c r="F38" s="54"/>
      <c r="G38" s="54"/>
      <c r="H38" s="54"/>
    </row>
    <row r="39" spans="1:8">
      <c r="A39" s="6"/>
      <c r="B39" s="6"/>
      <c r="C39" s="6"/>
      <c r="D39" s="6"/>
      <c r="E39" s="6"/>
      <c r="F39" s="6"/>
      <c r="G39" s="6"/>
      <c r="H39" s="6"/>
    </row>
    <row r="40" spans="1:8">
      <c r="A40" s="6"/>
      <c r="B40" s="6"/>
      <c r="C40" s="6"/>
      <c r="D40" s="6"/>
      <c r="E40" s="6"/>
      <c r="F40" s="6"/>
      <c r="G40" s="6"/>
      <c r="H40" s="6"/>
    </row>
    <row r="41" spans="1:8">
      <c r="A41" s="6"/>
      <c r="B41" s="6"/>
      <c r="C41" s="6"/>
      <c r="D41" s="6"/>
      <c r="E41" s="6"/>
      <c r="F41" s="6"/>
      <c r="G41" s="6"/>
      <c r="H41" s="6"/>
    </row>
    <row r="42" spans="1:8">
      <c r="A42" s="6"/>
      <c r="B42" s="6"/>
      <c r="C42" s="6"/>
      <c r="D42" s="6"/>
      <c r="E42" s="6"/>
      <c r="F42" s="6"/>
      <c r="G42" s="6"/>
      <c r="H42" s="6"/>
    </row>
    <row r="43" spans="1:8">
      <c r="A43" s="6"/>
      <c r="B43" s="6"/>
      <c r="C43" s="6"/>
      <c r="D43" s="6"/>
      <c r="E43" s="6"/>
      <c r="F43" s="6"/>
      <c r="G43" s="6"/>
      <c r="H43" s="6"/>
    </row>
    <row r="44" spans="1:8">
      <c r="A44" s="6"/>
      <c r="B44" s="6"/>
      <c r="C44" s="6"/>
      <c r="D44" s="6"/>
      <c r="E44" s="6"/>
      <c r="F44" s="6"/>
      <c r="G44" s="6"/>
      <c r="H44" s="6"/>
    </row>
    <row r="45" spans="1:8">
      <c r="A45" s="6"/>
      <c r="B45" s="6"/>
      <c r="C45" s="6"/>
      <c r="D45" s="6"/>
      <c r="E45" s="6"/>
      <c r="F45" s="6"/>
      <c r="G45" s="6"/>
      <c r="H45" s="6"/>
    </row>
  </sheetData>
  <mergeCells count="2">
    <mergeCell ref="A1:H1"/>
    <mergeCell ref="A38:H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Form127_Raw</vt:lpstr>
      <vt:lpstr>Data_Dictionary</vt:lpstr>
      <vt:lpstr>Project_Setup</vt:lpstr>
      <vt:lpstr>Airport_Master</vt:lpstr>
      <vt:lpstr>Pilot_Validation</vt:lpstr>
      <vt:lpstr>Data_Quality</vt:lpstr>
      <vt:lpstr>Working_Set_25</vt:lpstr>
      <vt:lpstr>Comparability_Review</vt:lpstr>
      <vt:lpstr>Candidate_Set_33</vt:lpstr>
      <vt:lpstr>Final_Airport_Set</vt:lpstr>
      <vt:lpstr>Airport_Financials_Clean</vt:lpstr>
      <vt:lpstr>Cleaning_Audit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Nakul</dc:creator>
  <cp:lastModifiedBy>Nakul Jaunjal</cp:lastModifiedBy>
  <dcterms:created xsi:type="dcterms:W3CDTF">2026-09-25T20:26:02Z</dcterms:created>
  <dcterms:modified xsi:type="dcterms:W3CDTF">2026-09-25T20:26:02Z</dcterms:modified>
</cp:coreProperties>
</file>